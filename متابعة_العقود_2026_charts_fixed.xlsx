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3.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4.xml" ContentType="application/vnd.openxmlformats-officedocument.drawing+xml"/>
  <Override PartName="/xl/drawings/drawing25.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6.xml" ContentType="application/vnd.openxmlformats-officedocument.drawing+xml"/>
  <Override PartName="/xl/drawings/drawing27.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8.xml" ContentType="application/vnd.openxmlformats-officedocument.drawing+xml"/>
  <Override PartName="/xl/drawings/drawing29.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0.xml" ContentType="application/vnd.openxmlformats-officedocument.drawing+xml"/>
  <Override PartName="/xl/drawings/drawing31.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2.xml" ContentType="application/vnd.openxmlformats-officedocument.drawing+xml"/>
  <Override PartName="/xl/drawings/drawing33.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4.xml" ContentType="application/vnd.openxmlformats-officedocument.drawing+xml"/>
  <Override PartName="/xl/drawings/drawing35.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6.xml" ContentType="application/vnd.openxmlformats-officedocument.drawing+xml"/>
  <Override PartName="/xl/drawings/drawing37.xml" ContentType="application/vnd.openxmlformats-officedocument.drawing+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8.xml" ContentType="application/vnd.openxmlformats-officedocument.drawing+xml"/>
  <Override PartName="/xl/drawings/drawing39.xml" ContentType="application/vnd.openxmlformats-officedocument.drawing+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0.xml" ContentType="application/vnd.openxmlformats-officedocument.drawing+xml"/>
  <Override PartName="/xl/drawings/drawing41.xml" ContentType="application/vnd.openxmlformats-officedocument.drawing+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2.xml" ContentType="application/vnd.openxmlformats-officedocument.drawing+xml"/>
  <Override PartName="/xl/drawings/drawing43.xml" ContentType="application/vnd.openxmlformats-officedocument.drawing+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4.xml" ContentType="application/vnd.openxmlformats-officedocument.drawing+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5.xml" ContentType="application/vnd.openxmlformats-officedocument.drawing+xml"/>
  <Override PartName="/xl/drawings/drawing46.xml" ContentType="application/vnd.openxmlformats-officedocument.drawing+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7.xml" ContentType="application/vnd.openxmlformats-officedocument.drawing+xml"/>
  <Override PartName="/xl/charts/chart2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EHA\Desktop\"/>
    </mc:Choice>
  </mc:AlternateContent>
  <xr:revisionPtr revIDLastSave="0" documentId="13_ncr:1_{D7157A0A-6783-4426-8218-73DDD72A8436}" xr6:coauthVersionLast="47" xr6:coauthVersionMax="47" xr10:uidLastSave="{00000000-0000-0000-0000-000000000000}"/>
  <bookViews>
    <workbookView xWindow="-120" yWindow="-120" windowWidth="29040" windowHeight="15720" tabRatio="889" firstSheet="4" activeTab="4" xr2:uid="{00000000-000D-0000-FFFF-FFFF00000000}"/>
  </bookViews>
  <sheets>
    <sheet name="النظافة" sheetId="36" r:id="rId1"/>
    <sheet name="    Chart    " sheetId="4" r:id="rId2"/>
    <sheet name="الأكسجين" sheetId="39" r:id="rId3"/>
    <sheet name="     Chart    " sheetId="40" r:id="rId4"/>
    <sheet name="الأمن والحراسة" sheetId="41" r:id="rId5"/>
    <sheet name="  Chart    " sheetId="42" r:id="rId6"/>
    <sheet name="تداول النفايات" sheetId="47" r:id="rId7"/>
    <sheet name="    Chart" sheetId="48" r:id="rId8"/>
    <sheet name="توريد دم" sheetId="51" r:id="rId9"/>
    <sheet name="    Chart " sheetId="52" r:id="rId10"/>
    <sheet name="المخلفات الغير طبية" sheetId="53" state="hidden" r:id="rId11"/>
    <sheet name="Chart (9)" sheetId="54" state="hidden" r:id="rId12"/>
    <sheet name="توريد وإعداد الوجبات" sheetId="55" r:id="rId13"/>
    <sheet name="   Chart  " sheetId="56" r:id="rId14"/>
    <sheet name="اجهزة الاشعة المتنقلة" sheetId="63" state="hidden" r:id="rId15"/>
    <sheet name="عقد الصيانة" sheetId="57" r:id="rId16"/>
    <sheet name="   Chart   " sheetId="58" r:id="rId17"/>
    <sheet name="مكافحة القوارض" sheetId="99" r:id="rId18"/>
    <sheet name="     Chart     " sheetId="100" r:id="rId19"/>
    <sheet name="معالجة مياه الكلي" sheetId="97" r:id="rId20"/>
    <sheet name="صيانة وقائية و اصلاحية ميديكال" sheetId="61" state="hidden" r:id="rId21"/>
    <sheet name="Chart (13)" sheetId="70" state="hidden" r:id="rId22"/>
    <sheet name="      Chart    " sheetId="98" r:id="rId23"/>
    <sheet name=" جهاز الرنين" sheetId="67" r:id="rId24"/>
    <sheet name="   Chart " sheetId="72" r:id="rId25"/>
    <sheet name="صيانة اشعه عاديه" sheetId="68" r:id="rId26"/>
    <sheet name="   Chart" sheetId="73" r:id="rId27"/>
    <sheet name="جهاز المقطعية" sheetId="78" r:id="rId28"/>
    <sheet name="  Chart" sheetId="79" r:id="rId29"/>
    <sheet name="الكلي الصناعي" sheetId="80" r:id="rId30"/>
    <sheet name="  Chart " sheetId="81" r:id="rId31"/>
    <sheet name="اشعة متنقل" sheetId="82" r:id="rId32"/>
    <sheet name="Chart " sheetId="62" r:id="rId33"/>
    <sheet name="تنفس صناعي" sheetId="83" r:id="rId34"/>
    <sheet name="Chart  " sheetId="84" r:id="rId35"/>
    <sheet name="اشعة ماموجرام " sheetId="85" r:id="rId36"/>
    <sheet name=" Chart  " sheetId="86" r:id="rId37"/>
    <sheet name="التعقيم " sheetId="89" r:id="rId38"/>
    <sheet name="Chart" sheetId="90" r:id="rId39"/>
    <sheet name="تخدير ومونيتور" sheetId="91" r:id="rId40"/>
    <sheet name=" Chart" sheetId="92" r:id="rId41"/>
    <sheet name="حضانات" sheetId="93" r:id="rId42"/>
    <sheet name="  Chart  " sheetId="94" r:id="rId43"/>
    <sheet name="ورقة2" sheetId="103" r:id="rId44"/>
    <sheet name="ورقة3" sheetId="104" r:id="rId45"/>
    <sheet name="ورقة4" sheetId="105" r:id="rId46"/>
    <sheet name="ورقة5" sheetId="106" r:id="rId47"/>
    <sheet name="ورقة6" sheetId="107" r:id="rId48"/>
    <sheet name="ورقة7" sheetId="108" r:id="rId49"/>
    <sheet name="ورقة8" sheetId="109" r:id="rId50"/>
    <sheet name="ورقة9" sheetId="110" r:id="rId51"/>
    <sheet name="ورقة10" sheetId="111" r:id="rId52"/>
    <sheet name="ورقة11" sheetId="112" r:id="rId53"/>
    <sheet name="ورقة12" sheetId="113" r:id="rId54"/>
    <sheet name="اجمالي نسب العقود " sheetId="101" r:id="rId55"/>
    <sheet name="صيانة اجهزة تخدير جي أي" sheetId="69" state="hidden" r:id="rId56"/>
    <sheet name="Chart (17)" sheetId="74" state="hidden" r:id="rId57"/>
    <sheet name="Total" sheetId="60" state="hidden" r:id="rId58"/>
  </sheets>
  <externalReferences>
    <externalReference r:id="rId59"/>
    <externalReference r:id="rId60"/>
  </externalReferences>
  <definedNames>
    <definedName name="_xlnm.Print_Area" localSheetId="3">'     Chart    '!$A$1:$M$31</definedName>
    <definedName name="_xlnm.Print_Area" localSheetId="1">'    Chart    '!$A$1:$M$31</definedName>
    <definedName name="_xlnm.Print_Area" localSheetId="57">Total!$A$1:$P$47</definedName>
    <definedName name="_xlnm.Print_Area" localSheetId="0">النظافة!$A$1:$L$34</definedName>
  </definedNames>
  <calcPr calcId="191029" fullCalcOnLoad="1"/>
</workbook>
</file>

<file path=xl/sharedStrings.xml><?xml version="1.0" encoding="utf-8"?>
<sst xmlns="http://schemas.openxmlformats.org/spreadsheetml/2006/main" count="1415" uniqueCount="269">
  <si>
    <t>جمهورية مصر العربية</t>
  </si>
  <si>
    <t>Arab Republic of Egypt</t>
  </si>
  <si>
    <t>الهيئة العامة للرعاية الصحية</t>
  </si>
  <si>
    <t>General Authority of Health Care</t>
  </si>
  <si>
    <t xml:space="preserve">مجمع الفيروز الطبي </t>
  </si>
  <si>
    <t>AL Fayrouz Medical Complex</t>
  </si>
  <si>
    <t>مراقبة وتقييم عقد النظافة</t>
  </si>
  <si>
    <t>م</t>
  </si>
  <si>
    <t>البند</t>
  </si>
  <si>
    <t xml:space="preserve">الالتزام بعدم حدوث تجاوز نسبة الغياب بالوردية الواحدة عن 25% من اجمالى الوردية </t>
  </si>
  <si>
    <t>النسبة الإجمالية</t>
  </si>
  <si>
    <t>Sharm International Hospital</t>
  </si>
  <si>
    <t>البسط</t>
  </si>
  <si>
    <t>عدد بنود التقييم المحققة</t>
  </si>
  <si>
    <t>المقام</t>
  </si>
  <si>
    <t>إجمالي عدد بنود التقييم (المحددة)</t>
  </si>
  <si>
    <t>المستهدف</t>
  </si>
  <si>
    <t>الشهر</t>
  </si>
  <si>
    <t>النسبة</t>
  </si>
  <si>
    <t>إجمالي التقييم السنوي للعقد</t>
  </si>
  <si>
    <t>التحليل الوصفي</t>
  </si>
  <si>
    <t>الإجراء التصحيحي</t>
  </si>
  <si>
    <t>المسؤول عن التنفيذ</t>
  </si>
  <si>
    <t>المدة</t>
  </si>
  <si>
    <t>مجمع الفيروز الطبي</t>
  </si>
  <si>
    <t>مراقبة وتقييم عقد أعمال الأكسجين الطبي السائل</t>
  </si>
  <si>
    <t>التقييم (ربع سنوي)</t>
  </si>
  <si>
    <t>الالتزام بتوريد سائل الاكسجين طبى معبأ بدرجة نقاوة لا تقل عن 99.7% لسائل الاكسجين طبقا للمواصفات القياسية المصرية وتعبئة اسطوانات الاكسجين 40 و10 لتر</t>
  </si>
  <si>
    <t>الالتزام بتامين المعدات فضلا عن توفير المساعدة التى نحتاجها لفحص المعدات وصيانتها</t>
  </si>
  <si>
    <t xml:space="preserve">التزام الطرف الثاني بالتوريد خلال 48 ساعة بإبلاغ خدمة العملاء بخلاف الحالات الطارئة في حينه  </t>
  </si>
  <si>
    <t>-</t>
  </si>
  <si>
    <t>مراقبة وتقييم عقد الأمن والحراسة</t>
  </si>
  <si>
    <t>توفير العمالة اللازمة والمدربة لأعمال الامن والحراسة</t>
  </si>
  <si>
    <t xml:space="preserve">التزام العاملين بالزي الرسمي والمظهر العام </t>
  </si>
  <si>
    <t xml:space="preserve">عدم وجود عجز الشفت الأول  و الثاني و الثالث من الافراد  </t>
  </si>
  <si>
    <t xml:space="preserve">الالتزام بادخال الزائرين فقط بمواعيد الزيارات </t>
  </si>
  <si>
    <t>حراسة وتأمين الجهة بالكامل فيما هو واقع داخل اسوار المستشفى بكامل البناء والحدود الاربعة وجميع مايخص الجهة مع تأمين اى ممتلكات أو معدات أو اجهزة أو مستلزمات تخص المستشفى وكذلك تأمين أى مبانى ملحقة بالمستشفى سواء داخل حدودها أو فى مكان اخر</t>
  </si>
  <si>
    <t xml:space="preserve">توفير المعدات والاجهزة الازمة لتنفيذ الاعمال </t>
  </si>
  <si>
    <t>الالتزام بعدم السماح لغير المصرح لهم بالدخول الي داخل حدود المستشفي ( الباعة , المندوبين , ....... )</t>
  </si>
  <si>
    <t xml:space="preserve">جلوس مرضي او زوار داخل المربعات الخضراء </t>
  </si>
  <si>
    <t xml:space="preserve">عدم دخول اطعمه من الخارج او مندوبين توصيل الطلبات </t>
  </si>
  <si>
    <t>مزاولة أفراد الأمن لأعمال غير مصرح لهم بها</t>
  </si>
  <si>
    <t xml:space="preserve">انتظار السيارات في الأماكن الغير مخصصة </t>
  </si>
  <si>
    <t>الالتزام بعدم حدوث تعامل غير لائق و تصرفات لا تتناسب مع السلوك و الاداب العامة و في حالة حدوث يتم الاستبعاد يتم الاستبعاد و تعيين بديل خلال 48 ساعة</t>
  </si>
  <si>
    <t xml:space="preserve"> مستشفي شرم الشيخ الدولي</t>
  </si>
  <si>
    <t>مراقبة وتقييم عقد تداول النفايات الخطرة</t>
  </si>
  <si>
    <t xml:space="preserve">يتم طبقا لقرار  وزير الصحة 467 لسنة 2020 ووفقا لقانون البيئة رقم 4 لسنة 1994 </t>
  </si>
  <si>
    <t>الالتزام بمواعيد الاستدعاء حسب المواعيد المقررة بالعقد</t>
  </si>
  <si>
    <t>مراقبة وتقييم عقد تداول النفايات</t>
  </si>
  <si>
    <t>مراقبة وتقييم عقد توريد دم</t>
  </si>
  <si>
    <t>توفيره بشكل امن وخالي من أي فيروسات بالطرق المستخدمة بالمركز</t>
  </si>
  <si>
    <t>تليبة الاحتياجات من الدم ومشتقاته بقدر المتاح</t>
  </si>
  <si>
    <t>الالتزام ببيع وحدات الدم ومشتقاته بالسعر المتعاقد عليه –المدعم من وزارة الصحة- والاستخدام فى غرضه المشروع</t>
  </si>
  <si>
    <t xml:space="preserve">Sharm International Hospital </t>
  </si>
  <si>
    <t>مراقبة وتقييم عقد المخلفات غير الطبية</t>
  </si>
  <si>
    <t>6/2022</t>
  </si>
  <si>
    <t>9/2022</t>
  </si>
  <si>
    <t>12/2022</t>
  </si>
  <si>
    <t>3/2023</t>
  </si>
  <si>
    <t>6/2023</t>
  </si>
  <si>
    <t>9/2023</t>
  </si>
  <si>
    <t>12/2023</t>
  </si>
  <si>
    <t>الالتزام بكافة التشريعات والقوانين البيئية  لتنفيذ عمليات وتشغيل الخدمات  لضمان نقل المخلفات الغير طبية</t>
  </si>
  <si>
    <t>الالتزام بمواعيد نقل النفايات</t>
  </si>
  <si>
    <t xml:space="preserve">الالتزام بنقل المخلفات الغير طبية بمعدات وسيارات الوحدة المحلية لمركز ومدينة القنطرة  غرب بطريقة سليمة بيئيا وموثوق بها ونقلها للمقلب الرئيسي  </t>
  </si>
  <si>
    <t>Ismailia Branch</t>
  </si>
  <si>
    <t>يونيو 2022</t>
  </si>
  <si>
    <t>سبتمبر 2022</t>
  </si>
  <si>
    <t>ديسمبر 2022</t>
  </si>
  <si>
    <t>مارس 2023</t>
  </si>
  <si>
    <t>يونيو 2023</t>
  </si>
  <si>
    <t>سبتمبر 2023</t>
  </si>
  <si>
    <t>ديسمبر 2023</t>
  </si>
  <si>
    <t>تحقيق المؤشر للنسبة المستهدفة</t>
  </si>
  <si>
    <t>مراقبة وتقييم عقد توريد وإعداد الوجبات</t>
  </si>
  <si>
    <t xml:space="preserve"> </t>
  </si>
  <si>
    <t xml:space="preserve">مراقبة وتقييم عقد صيانة أجهزة الأشعة المتنقلة </t>
  </si>
  <si>
    <t>3/2024</t>
  </si>
  <si>
    <t>6/2024</t>
  </si>
  <si>
    <t>اتمام عملية اصلاح الجهاز خلال 24 ساعة من تاريخ الاستجابة للعطل في حالة عدم احتياج الجهاز الي قطع غيار</t>
  </si>
  <si>
    <t xml:space="preserve">اتمام عملية اصلاح الجهاز خلال 48 ساعة من تاريخ الاستجابة للعطل في حالة احتياج الجهاز الي قطع غيار متوفرة بالسوق المحلي </t>
  </si>
  <si>
    <t>اتمام عملية اصلاح الجهاز خلال 21 يوم من تاريخ الاستجابة للعطل في حالة احتياج الجهاز الي قطع غيار غير متوفرة بمخازنه و يلزم استيرادها من الخارج و هذا الاستثناء لا يجوز ان يزيد علي مرتين في العام الواحد</t>
  </si>
  <si>
    <t>تدريب العاملين و المستخدمين للاجهزة الموجودة بهذا العقد</t>
  </si>
  <si>
    <t>ضمان معدل عمل الاجهزة موضوع التعاقد (ضمان وجود الاجهزة في الخدمة) لا يقل عن 95 % من الايام المتفق عليها و هي 300 يوم سنويا</t>
  </si>
  <si>
    <t>مراقبة وتقييم عقد صيانة المرافق</t>
  </si>
  <si>
    <t>الالتزام بتقديم التقارير في الوقت المحدد</t>
  </si>
  <si>
    <t>يناير</t>
  </si>
  <si>
    <t xml:space="preserve">عدم الإلتزام بالأعداد والتخصصات </t>
  </si>
  <si>
    <t xml:space="preserve">خصم التقييم والتنبيه على الشركة بضرورة إستكمال الأعداد والتخصصات </t>
  </si>
  <si>
    <t>مدير التشغيل</t>
  </si>
  <si>
    <t>شهر</t>
  </si>
  <si>
    <t>مارس</t>
  </si>
  <si>
    <t>تأخر تفعيل البرامج المخصصة لإدارة الصيانات</t>
  </si>
  <si>
    <t>خصم بند البرنامج مع التنبيه بضرورة الإسراع في تفعيل البرنامج</t>
  </si>
  <si>
    <t>شهرين</t>
  </si>
  <si>
    <t xml:space="preserve">مراقبة وتقييم عقد مكافحة القوارض و الحشرات </t>
  </si>
  <si>
    <t>التزام الشركة بمواعيد الزيارات المحددة</t>
  </si>
  <si>
    <t xml:space="preserve">توفير المواد المصرح بها من وزارة الصحة </t>
  </si>
  <si>
    <t xml:space="preserve">استخدام الأدوات الحديثة لمكافحة الحشرات </t>
  </si>
  <si>
    <t xml:space="preserve">متابعة مصايد الذباب و القوارض </t>
  </si>
  <si>
    <t xml:space="preserve">مراقبة وتقييم عقد معالجة مياة وحدة الكلي  </t>
  </si>
  <si>
    <t>التزام الشركة بمواعيد زيارات الصيانة الوقائية بواقع زيارة واحدة شهر</t>
  </si>
  <si>
    <t>اتمام عملية استيراد  قطع الغيار الاصلية و الجديدة الغير متوفرة محليا  خلا ل 4 يوم من تاريخ تحديد القطع التالفة</t>
  </si>
  <si>
    <t>مراقبة وتقييم عقد صيانة طبية وقائية و اصلاحية ميديكال</t>
  </si>
  <si>
    <t>مراقبة وتقييم عقد صيانة وقائية و اصلاحية</t>
  </si>
  <si>
    <t>مراقبة وتقييم عقد جهاز الرنين</t>
  </si>
  <si>
    <t>اتمام عملية اصلاح الجهاز خلال 21 يوم من تاريخ تشخيص العطل في حالة احتياج الجهاز الي قطع غيار غير متوفرة بمخازنه و يلزم استيرادها من الخارج و هذا الاستثناء لا يجوز ان يزيد علي مرتين في العام الواحد</t>
  </si>
  <si>
    <t>مراقبة وتقييم عقد صيانة اشعه عادية</t>
  </si>
  <si>
    <t>التزام الشركة بمواعيد زيارات الصيانة الوقائية بواقع زيارة واحدة كل ثلاثة اشهر</t>
  </si>
  <si>
    <t xml:space="preserve">استجابة الشركة في حالة ابلاغ المستشفي عن عطل بارسال مهندس الصيانة لال 48 ساعة من ابلاغ العطل  علي ان تكون طلبات الاصلاح بدون حد أقصي </t>
  </si>
  <si>
    <t>اتمام عملية استيراد  قطع الغيار الاصلية و الجديدة الغير متوفرة محليا  خلال 4 يوم من تاريخ تحديد القطع التالفة</t>
  </si>
  <si>
    <t>تقديم الشركة بعد كل زيارة وقائية و اصلاحية تقريرا مفصلا عن ما تم من اعمال</t>
  </si>
  <si>
    <t>مراقبة و تقييم عقد صيانة اشعه عادية</t>
  </si>
  <si>
    <t>مراقبة وتقييم عقد صيانة جهاز الاشعة المقطعية</t>
  </si>
  <si>
    <t>مراقبة وتقييم عقد صيانة جهاز  جهاز الاشعة المقطعية</t>
  </si>
  <si>
    <t>مراقبة وتقييم عقد صيانة أجهزة الكلي الصناعي</t>
  </si>
  <si>
    <t>مراقبة وتقييم عقد صيانة اجهزة الاشعة المتنقلة</t>
  </si>
  <si>
    <t>مراقبة وتقييم عقد صيانة اجهزة التنفس الصناعي</t>
  </si>
  <si>
    <t>مراقبة وتقييم عقد صيانة جهاز اشعة الماموجرام</t>
  </si>
  <si>
    <t>مراقبة وتقييم عقد صيانة اجهزة التعقيم</t>
  </si>
  <si>
    <t>مراقبة وتقييم عقد صيانة اجهزة التخدير و المونيتور</t>
  </si>
  <si>
    <t>مراقبة وتقييم عقد صيانة اجهزة حضانات</t>
  </si>
  <si>
    <t>اجمالي نسبة  الالتزام ببنود التعاقد طبقا للقائمة التفقدية</t>
  </si>
  <si>
    <t>حضانات</t>
  </si>
  <si>
    <t>تخدير ومونيتور</t>
  </si>
  <si>
    <t>التعقيم</t>
  </si>
  <si>
    <t>اشعة ماموجرام</t>
  </si>
  <si>
    <t>تنفس صناعي</t>
  </si>
  <si>
    <t xml:space="preserve">اشعة متنقل </t>
  </si>
  <si>
    <t>الكلي الصناعي</t>
  </si>
  <si>
    <t>جهاز المقطعية</t>
  </si>
  <si>
    <t>صيانة اشعة عادية</t>
  </si>
  <si>
    <t>جهاز الرنين</t>
  </si>
  <si>
    <t xml:space="preserve">معالجة مياة الكلي </t>
  </si>
  <si>
    <t xml:space="preserve">مكافحة القوارض </t>
  </si>
  <si>
    <t>عقد الصيانه</t>
  </si>
  <si>
    <t xml:space="preserve">توريد واعداد الوجبات </t>
  </si>
  <si>
    <t>توريد دم</t>
  </si>
  <si>
    <t>تداول النفايات</t>
  </si>
  <si>
    <t>الامن والحراسة</t>
  </si>
  <si>
    <t>الاكسجين</t>
  </si>
  <si>
    <t>النظافة</t>
  </si>
  <si>
    <t>اجمال البنود</t>
  </si>
  <si>
    <t>يونيو2025</t>
  </si>
  <si>
    <t>80%+B14:T14</t>
  </si>
  <si>
    <t>سبتمبر2025</t>
  </si>
  <si>
    <t>يونيو2026</t>
  </si>
  <si>
    <t>سبتمبر2026</t>
  </si>
  <si>
    <t>ديسمبر2026</t>
  </si>
  <si>
    <t>مراقبة وتقييم عقد صيانة طبية أجهزة تخدير جي أي</t>
  </si>
  <si>
    <t xml:space="preserve">تلتزم الشركة بارسال الجهاز الي الشركة المصنعة بالخارج علي نفقتها لاجراء كافة التعديلات بدون اي مصاريف اضافية </t>
  </si>
  <si>
    <t>مراقبة وتقييم عقد صيانة تخدير جي أي</t>
  </si>
  <si>
    <t>مراقبة وتقييم العقود (سنوي)</t>
  </si>
  <si>
    <t>العقد</t>
  </si>
  <si>
    <t>الأكسجين</t>
  </si>
  <si>
    <t>الأمن والحراسة</t>
  </si>
  <si>
    <t>التخلص الآمن من ناتج الفرم</t>
  </si>
  <si>
    <t>مكافحة الحشرات</t>
  </si>
  <si>
    <t>تطهير خزان المياه</t>
  </si>
  <si>
    <t>توريد الدم</t>
  </si>
  <si>
    <t>المخلفات الغير طبية</t>
  </si>
  <si>
    <t>توريد وإعداد الوجبات</t>
  </si>
  <si>
    <t>صيانة</t>
  </si>
  <si>
    <t>صيانة جهازاشعة تشخيصية</t>
  </si>
  <si>
    <t>صيانة وقائية و اصلاحية ميديكال</t>
  </si>
  <si>
    <t>صيانة طبية المجموعه المصريه</t>
  </si>
  <si>
    <t>صيانة طبية سيرفوميد</t>
  </si>
  <si>
    <t>صيانة طبية لايف كير</t>
  </si>
  <si>
    <t>صيانة طبية جي أي</t>
  </si>
  <si>
    <t>الملاحظات</t>
  </si>
  <si>
    <t>القرار / الإجراء التصحيحي</t>
  </si>
  <si>
    <t>لوحظ وصول المؤشر للمستهدف</t>
  </si>
  <si>
    <t xml:space="preserve">التخلص الآمن </t>
  </si>
  <si>
    <t>صيانة طبية  المجموعه المصريه</t>
  </si>
  <si>
    <t>صيانة طبية SERVAMED</t>
  </si>
  <si>
    <t>صيانة طبية LIFE CARE</t>
  </si>
  <si>
    <t>صيانة طبية GE</t>
  </si>
  <si>
    <t>3/2026</t>
  </si>
  <si>
    <t>9/2026</t>
  </si>
  <si>
    <t>6/2026</t>
  </si>
  <si>
    <t>12/2026</t>
  </si>
  <si>
    <t>في حالة استبدال اللحوم والدواجن أو العكس وفقا للقوائم الأسبوعية مع خصم فروق الأسعار</t>
  </si>
  <si>
    <t>في حالة عدم توريد اة صنف أو رفض اى صنف لعدم مطابقته يتم الشراء من السوق المحلى على حساب الجهة الموردة بجانب العرامة الإدارية وفروق الأسعار على كل صنف مطلوب توريده .</t>
  </si>
  <si>
    <t>في حالة عدم توريد أي صنف من الوجبات الرئيسية أو البينية وتعذر الشراء يخصم ثمن هذا الصنف من كل وجبة بجانب الغرامة لكل صنف</t>
  </si>
  <si>
    <t>مخالفة الزى أو عدم نظافته أو عدم الإلتزام بشروط مكافحة العدوى لكل عامل على حدى</t>
  </si>
  <si>
    <t>مخافة النظافة أو عدم الإلتزام بنظافة الهود أو وجود حشرات بالمطبخ أو الأوفسات</t>
  </si>
  <si>
    <t xml:space="preserve">في حالة عدم الألتزام بمواعيد تقديم الوجبات عن المواعيد المقررة </t>
  </si>
  <si>
    <t>عدم الألتزام بنقل وتقديم الوجبات طبقا لإشتراطات الهيئة القومية لسلامة الغذاء للوحدات والمراكز التابعة للمنشأة</t>
  </si>
  <si>
    <t>عدم الإلتزام بمواصفات التغليف للوجبات</t>
  </si>
  <si>
    <t>في حالة نقص العمالة عن العدد المطلوب يوميا ولكل عامل على حدى</t>
  </si>
  <si>
    <t>في حالة عدم الإلتزام بتخزين الأغذية الجافة عن مدة تكفى 7 أيام لكل صنف على حدى</t>
  </si>
  <si>
    <t>في حالة عدم الإلتزام بشروط التوريد والتخزين</t>
  </si>
  <si>
    <t xml:space="preserve">وجود اى وجبة مقمة مخالفة للأوزان والمقننات وطرق الطهى أو عدم استخدام التوابل يتم خصم ثمن الصنف المخالف </t>
  </si>
  <si>
    <t xml:space="preserve">في حالة عدم التنويع في الخضار والفاكهة وفقا للقائمة الأسبوعية </t>
  </si>
  <si>
    <t xml:space="preserve">فى حالة وجود خضروات أو فاكهة تالفة أو معطوبة أو مخالفات تنظيف لحوم  او دواجن داخللا المطبخ أو المخزن </t>
  </si>
  <si>
    <t xml:space="preserve">في حالة وجود مواد عذائية غير مطابقة للمواصفات الفنية يتم استبعادها مع توقيع الغرامة وخصم ثمن الصنف من الوجبات المنصرفة </t>
  </si>
  <si>
    <t>في حالة عدم توفير الأجهزة ومستلزمات التشغيل غرامة عن كل منها يوميا</t>
  </si>
  <si>
    <t>في حالة عدم الإلتزام بشرط التجهيز أو وجود أطعمة مطهية من اليوم السابق</t>
  </si>
  <si>
    <t>في حالة عد التزام الجهة المتعاقد معها بسياسات وتعليمات الإدارة العامة للإدارة الفندقية برئاسة الهيئة أو الفرع أو المستشفى</t>
  </si>
  <si>
    <t xml:space="preserve">في حالة خروج أي أغذية خارج المطبخ تم تسليمها من قبل لجنة الإستلام ما عدا المطابخ المركزية </t>
  </si>
  <si>
    <t xml:space="preserve">عدم استكمال الملفات الخاصة بكافة العاملين بالمطبخ </t>
  </si>
  <si>
    <t>في حالة عدم حضور الشيف العمومى</t>
  </si>
  <si>
    <t>في حالة عد الإلتزام بطباعة الدفاتر الخاصة بالمطبخ واستيكرات تعريف الوجبة</t>
  </si>
  <si>
    <t>في حالة عدم اصلاح أعطال الأجهزة والمعدات واستبدال التالف منها بعد الإبلاغ بها بـ 48 ساعة</t>
  </si>
  <si>
    <t>في حالة استخدام المطبخ وملحقاتة في غير الأغراض المخصصة لذلك</t>
  </si>
  <si>
    <t xml:space="preserve">في حالة عدم توفير أدوات النظافة والمنظفات </t>
  </si>
  <si>
    <t>عدم الالتزام بالمظهر ىالعام ( الزى الكامل - عدم حلاقة الذقن - كارت التعريف - نظافة شخصية)</t>
  </si>
  <si>
    <t>عدم الالتزام بعدد العمالة المحددة</t>
  </si>
  <si>
    <t>في حالة تجاوز نسبة الغياب عن 25 % من اجمالي الفراد بالوردية ( لا تطبق في الحالات التى يكون عدد العاملين بالوردية اقل من 4 افراد )</t>
  </si>
  <si>
    <t xml:space="preserve">تجاوز نسبة العجز الشهرى لعدد الأفراد والمشرفين عن 25% من العدد المطلوب طبقا للعقد </t>
  </si>
  <si>
    <t>عدم الالتزام بتوفير الاجهزة والمعدات المتفق عليها أو التاخر في الإصلاح</t>
  </si>
  <si>
    <t>مزاولة اى من الأفراد أو المشرفين لعمل غير المخصص لهم داخل الجهة</t>
  </si>
  <si>
    <t>قيام أحد الأفراد أو المشرفين بالتعامل بأسلوب غير لائق مع العاملين بالجهة او الزائرين او المرضي</t>
  </si>
  <si>
    <t>استمرار الفرد او المشرف لاكثر من وردية بالموقع او العمل أكثر من 12 ساعة يومياً</t>
  </si>
  <si>
    <t>في حالة وجود سوابق جنائية لأحد الافراد او المشرفين</t>
  </si>
  <si>
    <t>الحاق أو إنهاء عمل أو نقل أي فرد من الأفراد أو المشرفين دون الرجوع لإدارة الشئون الإدارية بالجهة</t>
  </si>
  <si>
    <t>نوم أو تكاسل أحد الأفراد أو المشرفين أثناء الخدمة</t>
  </si>
  <si>
    <t>عدم الإلتزام بتقديم كشف يومية الأعداد لكل وردية على حدة مذكورا به اسم المشرف وأسماء الأفراد المتواجدين فعلياً بالوردية وأماكن تواجدهم وبحد أقصى ساعة من بداية الوردية</t>
  </si>
  <si>
    <t>في حالة عدم التزام الشركة بوضع وتنفيذ خطة لتدريب 20 % من الأفراد شهريا على اعمال النظافة وشئون البيئة وكيفية التعامل مع مختلف الأقسام طبقاً لطبيعة كل قسم</t>
  </si>
  <si>
    <t xml:space="preserve">تشغيل عمال أقل من 18 عام وأكبر من 50 سنة </t>
  </si>
  <si>
    <t>تعامل احد أفراد الشركة المتعاقدة مع المريض أو مرافقيه خارج نطاق الأعمال المكلف بها</t>
  </si>
  <si>
    <t>عدم التزام الشركة المتعاقدة بتوفير الخامات والموارد طبقا لمت تم الاتفاق عليه بالتعاقد</t>
  </si>
  <si>
    <t>تأخر الأفراد أو المشرفين عن الحضور في المواعيد المحددة</t>
  </si>
  <si>
    <t>قيام الشركة بتشغيل اى من العاملين بالمنشاة أو تشغيل أبناء العاملين بذات المنشاة</t>
  </si>
  <si>
    <t>عدم تنظيف واجهات مبانى المنشأت وفقا لما هو   منصوص عليه بالكراسىة</t>
  </si>
  <si>
    <t>عدم تواجد الفرد أو المشرف في المنطقة المكلف بتقديم الخدمة فيها</t>
  </si>
  <si>
    <t>استخدام أدوات او معدات غير مطابقة للمواصفات الفنية المتفق عليها في التعاقد في اعمال النظافة اليومية</t>
  </si>
  <si>
    <t>في حالة عدم التزام الشركة بتقديم كامل المستندات الخاصة بكل فرد من أفرادها والمتفق عليها بالتعاقد</t>
  </si>
  <si>
    <t>قيام احد الأفراد أو المشرفين التابعين للشركة بالتدخين داخل الجهة</t>
  </si>
  <si>
    <t>قيام العاملين بالشركة بمخالفة أي شرط من الشروط الخاصة الواردة بهذه الكراسة والغير منصوص عليها بجدول المخالفات</t>
  </si>
  <si>
    <t>غياب مهندس يوم عمل</t>
  </si>
  <si>
    <t>غياب فنى/مشرف</t>
  </si>
  <si>
    <t>عدم الالتزام بالزى المعتمد</t>
  </si>
  <si>
    <t>عدم التزام فرد او مجموعة عمل بالتعليمات والتعليمات العامة</t>
  </si>
  <si>
    <t>عدم تنفيذ الصيانة للمعدات الآتية :- الشيلررات ونظام VRF وأنظمة DX وحدات مناولة الهواء - مولدات الطاقة الكهربائية - الغلابة المركزية - مراوح سحب الدخان - معدات نظام الغاز</t>
  </si>
  <si>
    <t>عدم تنفيذ الصيانة الدورية المخططة للمعدات الآتية :- التكييفات المنفصلة وأوكونسليد أو FCU  - معدات تهوية منشأة - الطلمبات بانواعها - أجهزة UPS - معدات المغسلة والمطبخ - لوحات الكهرباء - معدات الغاز الطبية الفرعية - معدات التيار الخفيف -معدات مكافحة الحريق</t>
  </si>
  <si>
    <t>عطل مصعد</t>
  </si>
  <si>
    <t>عطل مولد قوى</t>
  </si>
  <si>
    <t xml:space="preserve">عطل معدة بمنظومة الغازات الطبية </t>
  </si>
  <si>
    <t>عطل وحدة تكييف منفصلة و أوكونسيك أو FCU</t>
  </si>
  <si>
    <t>عطل UPS جهاز استمرار التيار الكهربي</t>
  </si>
  <si>
    <t>عطل طلبة ( تكييف - تغذية مياة - حريق - صرف )</t>
  </si>
  <si>
    <t>عطل كلى بنظام انذار الحريق</t>
  </si>
  <si>
    <t>عطل نظام انتظار العملاء Q SYSTEM</t>
  </si>
  <si>
    <t>عطل نظام استدعاء الممرضات</t>
  </si>
  <si>
    <t>عطل كلى نظام الدش المركزى / الصوتيات والنداء</t>
  </si>
  <si>
    <t>عطل نظام إدارة المبنى BMS</t>
  </si>
  <si>
    <t>عطل السنترال الداخلى</t>
  </si>
  <si>
    <t xml:space="preserve">عطل كلى بنظام كاميرات المراقبة </t>
  </si>
  <si>
    <t>عطل جزئى بنظام كاميرات المراقبة</t>
  </si>
  <si>
    <t>عطل ( غسالة ملابس - مجفف - جندرة - وحدة طهى )</t>
  </si>
  <si>
    <t>عدم تنفيذ احدى زيارات الدعم الفني</t>
  </si>
  <si>
    <t>عدم الالتزام باستخدام CMMS  COMPUTERIZED MAINTENANCE MANAGEMENT SYSTEM</t>
  </si>
  <si>
    <t xml:space="preserve">تأخر تنفيذ أوامر الشغل للأعمال الإعتيادية ( دهانات - نجارة - سباكة - آثاث - إلخ ) </t>
  </si>
  <si>
    <t>عدم تطهير الخزانات وتقديم العينة</t>
  </si>
  <si>
    <t xml:space="preserve">عطل جزئى بنظام تكييف مركزى - الشيلارات ونظام VRF - أنظمة DX </t>
  </si>
  <si>
    <t>عطل كلى بنظام تكييف مركزى - الشيلارات ونظام VRF - أنظمة DX - خروج كلى عن الخدمة</t>
  </si>
  <si>
    <t>0</t>
  </si>
  <si>
    <t>في حالة عدم التزام الشركة بوضع ىخطة للقيام بأعمال النظافة اللازمة للمنشأة بكامل مرافقه والمداخل والمخارج وطريقة الإإشراف عليها وآليه توزيع الأعداد اللازمة خلال كل كل وردية لتنفيذ هذه الخطة على مدار الورديتين في حدود العدد المطلوب تعتمد من مدير إدارة الشئون الإدارية بالجهة أو من ينوب عن كل منها وتسلم شهريا قبل بداية كل شهر بثلاث ايام على الأقل</t>
  </si>
  <si>
    <t>الالتزام بعدم التدخين</t>
  </si>
  <si>
    <t>1</t>
  </si>
  <si>
    <t>فيراير</t>
  </si>
  <si>
    <t xml:space="preserve">مارس </t>
  </si>
  <si>
    <t>ابريل</t>
  </si>
  <si>
    <t>مايو</t>
  </si>
  <si>
    <t>يوليو</t>
  </si>
  <si>
    <t>يونيه</t>
  </si>
  <si>
    <t>أغسطس</t>
  </si>
  <si>
    <t>سبتمبر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</si>
</sst>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charset val="134"/>
      <scheme val="minor"/>
    </font>
    <font>
      <sz val="12"/>
      <color theme="1"/>
      <name val="Calibri"/>
      <charset val="134"/>
      <scheme val="minor"/>
    </font>
    <font>
      <b/>
      <sz val="10"/>
      <color theme="1"/>
      <name val="Calibri"/>
      <charset val="134"/>
      <scheme val="minor"/>
    </font>
    <font>
      <b/>
      <sz val="14"/>
      <color theme="0"/>
      <name val="Calibri"/>
      <charset val="134"/>
      <scheme val="minor"/>
    </font>
    <font>
      <b/>
      <sz val="12"/>
      <color theme="1"/>
      <name val="Calibri"/>
      <charset val="134"/>
      <scheme val="minor"/>
    </font>
    <font>
      <b/>
      <sz val="11"/>
      <color theme="1"/>
      <name val="Calibri"/>
      <charset val="134"/>
      <scheme val="minor"/>
    </font>
    <font>
      <sz val="12"/>
      <color theme="0"/>
      <name val="Calibri"/>
      <charset val="134"/>
      <scheme val="minor"/>
    </font>
    <font>
      <sz val="10"/>
      <color theme="1"/>
      <name val="Calibri"/>
      <charset val="134"/>
      <scheme val="minor"/>
    </font>
    <font>
      <sz val="12"/>
      <name val="Calibri"/>
      <charset val="134"/>
      <scheme val="minor"/>
    </font>
    <font>
      <b/>
      <sz val="12"/>
      <color theme="7"/>
      <name val="Calibri"/>
      <charset val="134"/>
      <scheme val="minor"/>
    </font>
    <font>
      <sz val="11"/>
      <color theme="1"/>
      <name val="Calibri"/>
      <charset val="134"/>
      <scheme val="minor"/>
    </font>
    <font>
      <sz val="12"/>
      <color theme="1"/>
      <name val="Calibri"/>
      <family val="2"/>
      <scheme val="minor"/>
    </font>
    <font>
      <sz val="9"/>
      <color theme="1"/>
      <name val="Times New Roman"/>
      <family val="1"/>
    </font>
    <font>
      <sz val="9"/>
      <color theme="1"/>
      <name val="Calibri"/>
      <family val="2"/>
      <scheme val="minor"/>
    </font>
    <font>
      <b/>
      <sz val="12"/>
      <color theme="1"/>
      <name val="Calibri"/>
      <family val="2"/>
      <scheme val="minor"/>
    </font>
  </fonts>
  <fills count="15">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theme="4" tint="0.79992065187536243"/>
        <bgColor indexed="64"/>
      </patternFill>
    </fill>
    <fill>
      <patternFill patternType="solid">
        <fgColor rgb="FF00B050"/>
        <bgColor indexed="64"/>
      </patternFill>
    </fill>
    <fill>
      <patternFill patternType="solid">
        <fgColor theme="4" tint="0.79995117038483843"/>
        <bgColor indexed="64"/>
      </patternFill>
    </fill>
    <fill>
      <patternFill patternType="solid">
        <fgColor rgb="FF92D050"/>
        <bgColor indexed="64"/>
      </patternFill>
    </fill>
    <fill>
      <patternFill patternType="solid">
        <fgColor theme="9" tint="0.79992065187536243"/>
        <bgColor indexed="64"/>
      </patternFill>
    </fill>
    <fill>
      <patternFill patternType="solid">
        <fgColor theme="9" tint="0.79995117038483843"/>
        <bgColor indexed="64"/>
      </patternFill>
    </fill>
    <fill>
      <patternFill patternType="solid">
        <fgColor theme="9" tint="0.59999389629810485"/>
        <bgColor indexed="64"/>
      </patternFill>
    </fill>
    <fill>
      <patternFill patternType="solid">
        <fgColor theme="9"/>
        <bgColor indexed="64"/>
      </patternFill>
    </fill>
    <fill>
      <patternFill patternType="solid">
        <fgColor theme="0"/>
        <bgColor indexed="64"/>
      </patternFill>
    </fill>
    <fill>
      <patternFill patternType="solid">
        <fgColor theme="4" tint="0.39994506668294322"/>
        <bgColor indexed="64"/>
      </patternFill>
    </fill>
    <fill>
      <patternFill patternType="solid">
        <fgColor rgb="FFFF0000"/>
        <bgColor indexed="64"/>
      </patternFill>
    </fill>
  </fills>
  <borders count="23">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2">
    <xf numFmtId="0" fontId="0" fillId="0" borderId="0"/>
    <xf numFmtId="9" fontId="10" fillId="0" borderId="0" applyFont="0" applyFill="0" applyBorder="0" applyAlignment="0" applyProtection="0"/>
  </cellStyleXfs>
  <cellXfs count="19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1" fillId="3" borderId="1" xfId="0" applyFont="1" applyFill="1" applyBorder="1" applyAlignment="1">
      <alignment vertical="center"/>
    </xf>
    <xf numFmtId="0" fontId="2" fillId="4" borderId="1" xfId="0" applyFont="1" applyFill="1" applyBorder="1" applyAlignment="1">
      <alignment horizontal="center" vertical="center"/>
    </xf>
    <xf numFmtId="0" fontId="4" fillId="0" borderId="0" xfId="0" applyFont="1" applyAlignment="1">
      <alignment vertical="center"/>
    </xf>
    <xf numFmtId="0" fontId="1" fillId="5" borderId="1" xfId="0" applyFont="1" applyFill="1" applyBorder="1" applyAlignment="1">
      <alignment vertical="center"/>
    </xf>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9" fontId="4" fillId="0" borderId="0" xfId="0" applyNumberFormat="1" applyFont="1" applyAlignment="1">
      <alignment vertical="center"/>
    </xf>
    <xf numFmtId="0" fontId="5" fillId="3" borderId="2" xfId="0" applyFont="1" applyFill="1" applyBorder="1" applyAlignment="1">
      <alignment horizontal="center" vertical="center"/>
    </xf>
    <xf numFmtId="0" fontId="5" fillId="3" borderId="1" xfId="0" applyFont="1" applyFill="1" applyBorder="1" applyAlignment="1">
      <alignment horizontal="center" vertical="center"/>
    </xf>
    <xf numFmtId="0" fontId="6" fillId="0" borderId="0" xfId="0" applyFont="1" applyAlignment="1">
      <alignment vertical="center"/>
    </xf>
    <xf numFmtId="0" fontId="2" fillId="6" borderId="1" xfId="0" applyFont="1" applyFill="1" applyBorder="1" applyAlignment="1">
      <alignment horizontal="center" vertical="center"/>
    </xf>
    <xf numFmtId="9" fontId="2" fillId="6" borderId="1" xfId="0" applyNumberFormat="1" applyFont="1" applyFill="1" applyBorder="1" applyAlignment="1">
      <alignment horizontal="center" vertical="center"/>
    </xf>
    <xf numFmtId="0" fontId="1" fillId="6" borderId="0" xfId="0" applyFont="1" applyFill="1" applyAlignment="1">
      <alignment vertical="center"/>
    </xf>
    <xf numFmtId="0" fontId="5" fillId="7"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2" fillId="9" borderId="4" xfId="0" applyFont="1" applyFill="1" applyBorder="1" applyAlignment="1">
      <alignment horizontal="center" vertical="center"/>
    </xf>
    <xf numFmtId="0" fontId="2" fillId="0" borderId="0" xfId="0" applyFont="1" applyAlignment="1">
      <alignment horizontal="right" vertical="center"/>
    </xf>
    <xf numFmtId="0" fontId="2" fillId="4" borderId="8" xfId="0" applyFont="1" applyFill="1" applyBorder="1" applyAlignment="1">
      <alignment horizontal="center" vertical="center"/>
    </xf>
    <xf numFmtId="0" fontId="2" fillId="0" borderId="8" xfId="0" applyFont="1" applyBorder="1" applyAlignment="1">
      <alignment horizontal="center" vertical="center"/>
    </xf>
    <xf numFmtId="9" fontId="2" fillId="0" borderId="8" xfId="0" applyNumberFormat="1" applyFont="1" applyBorder="1" applyAlignment="1">
      <alignment horizontal="center" vertical="center"/>
    </xf>
    <xf numFmtId="0" fontId="5" fillId="3" borderId="8" xfId="0" applyFont="1" applyFill="1" applyBorder="1" applyAlignment="1">
      <alignment horizontal="center" vertical="center"/>
    </xf>
    <xf numFmtId="0" fontId="2" fillId="0" borderId="8" xfId="0" applyFont="1" applyBorder="1" applyAlignment="1">
      <alignment horizontal="left" vertical="center" indent="1"/>
    </xf>
    <xf numFmtId="0" fontId="7" fillId="0" borderId="8" xfId="0" applyFont="1" applyBorder="1" applyAlignment="1">
      <alignment horizontal="center" vertical="center"/>
    </xf>
    <xf numFmtId="0" fontId="2" fillId="4" borderId="8" xfId="0" applyFont="1" applyFill="1" applyBorder="1" applyAlignment="1">
      <alignment horizontal="left" vertical="center" indent="1"/>
    </xf>
    <xf numFmtId="0" fontId="7" fillId="4" borderId="8" xfId="0" applyFont="1" applyFill="1" applyBorder="1" applyAlignment="1">
      <alignment horizontal="center" vertical="center"/>
    </xf>
    <xf numFmtId="9" fontId="2" fillId="4" borderId="8" xfId="0" applyNumberFormat="1" applyFont="1" applyFill="1" applyBorder="1" applyAlignment="1">
      <alignment horizontal="center" vertical="center"/>
    </xf>
    <xf numFmtId="9" fontId="2" fillId="10" borderId="8" xfId="0" applyNumberFormat="1" applyFont="1" applyFill="1" applyBorder="1" applyAlignment="1">
      <alignment horizontal="center" vertical="center"/>
    </xf>
    <xf numFmtId="0" fontId="5" fillId="7" borderId="8" xfId="0" applyFont="1" applyFill="1" applyBorder="1" applyAlignment="1">
      <alignment horizontal="center" vertical="center"/>
    </xf>
    <xf numFmtId="0" fontId="2" fillId="0" borderId="8" xfId="0" applyFont="1" applyBorder="1" applyAlignment="1">
      <alignment horizontal="center" vertical="center" wrapText="1"/>
    </xf>
    <xf numFmtId="0" fontId="2" fillId="4" borderId="8"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8" fillId="0" borderId="0" xfId="0" applyFont="1" applyAlignment="1">
      <alignment vertical="center"/>
    </xf>
    <xf numFmtId="49" fontId="4" fillId="3" borderId="8" xfId="0" applyNumberFormat="1" applyFont="1" applyFill="1" applyBorder="1" applyAlignment="1">
      <alignment horizontal="center" vertical="center"/>
    </xf>
    <xf numFmtId="0" fontId="2" fillId="4" borderId="8" xfId="0" applyFont="1" applyFill="1" applyBorder="1" applyAlignment="1">
      <alignment horizontal="right" vertical="center" wrapText="1" indent="1"/>
    </xf>
    <xf numFmtId="0" fontId="2" fillId="0" borderId="8" xfId="0" applyFont="1" applyBorder="1" applyAlignment="1">
      <alignment horizontal="right" vertical="center" wrapText="1" indent="1"/>
    </xf>
    <xf numFmtId="9" fontId="4" fillId="10" borderId="8" xfId="1" applyFont="1" applyFill="1" applyBorder="1" applyAlignment="1">
      <alignment horizontal="center" vertical="center"/>
    </xf>
    <xf numFmtId="0" fontId="3" fillId="0" borderId="0" xfId="0" applyFont="1" applyAlignment="1">
      <alignment vertical="center"/>
    </xf>
    <xf numFmtId="0" fontId="1" fillId="12" borderId="0" xfId="0" applyFont="1" applyFill="1" applyAlignment="1">
      <alignment vertical="center"/>
    </xf>
    <xf numFmtId="17" fontId="2" fillId="0" borderId="8" xfId="0" applyNumberFormat="1" applyFont="1" applyBorder="1" applyAlignment="1">
      <alignment horizontal="left" vertical="center" indent="1"/>
    </xf>
    <xf numFmtId="9" fontId="2" fillId="0" borderId="8" xfId="0" applyNumberFormat="1" applyFont="1" applyBorder="1" applyAlignment="1">
      <alignment horizontal="left" vertical="center" indent="1"/>
    </xf>
    <xf numFmtId="0" fontId="2" fillId="12" borderId="8" xfId="0" applyFont="1" applyFill="1" applyBorder="1" applyAlignment="1">
      <alignment horizontal="left" vertical="center" indent="1"/>
    </xf>
    <xf numFmtId="17" fontId="2" fillId="12" borderId="8" xfId="0" applyNumberFormat="1" applyFont="1" applyFill="1" applyBorder="1" applyAlignment="1">
      <alignment horizontal="left" vertical="center" indent="1"/>
    </xf>
    <xf numFmtId="0" fontId="2" fillId="12" borderId="0" xfId="0" applyFont="1" applyFill="1" applyAlignment="1">
      <alignment horizontal="center" vertical="center"/>
    </xf>
    <xf numFmtId="0" fontId="5" fillId="7" borderId="16" xfId="0" applyFont="1" applyFill="1" applyBorder="1" applyAlignment="1">
      <alignment horizontal="center" vertical="center"/>
    </xf>
    <xf numFmtId="17" fontId="2" fillId="4" borderId="8" xfId="0" applyNumberFormat="1" applyFont="1" applyFill="1" applyBorder="1" applyAlignment="1">
      <alignment horizontal="left" vertical="center" indent="1"/>
    </xf>
    <xf numFmtId="17" fontId="2" fillId="0" borderId="8" xfId="0" applyNumberFormat="1" applyFont="1" applyBorder="1" applyAlignment="1">
      <alignment horizontal="center" vertical="center"/>
    </xf>
    <xf numFmtId="17" fontId="2" fillId="4" borderId="8" xfId="0" applyNumberFormat="1" applyFont="1" applyFill="1" applyBorder="1" applyAlignment="1">
      <alignment horizontal="center" vertical="center"/>
    </xf>
    <xf numFmtId="0" fontId="7" fillId="12" borderId="8" xfId="0" applyFont="1" applyFill="1" applyBorder="1" applyAlignment="1">
      <alignment horizontal="center" vertical="center"/>
    </xf>
    <xf numFmtId="9" fontId="2" fillId="12" borderId="8" xfId="0" applyNumberFormat="1" applyFont="1" applyFill="1" applyBorder="1" applyAlignment="1">
      <alignment horizontal="center" vertical="center"/>
    </xf>
    <xf numFmtId="0" fontId="2" fillId="10" borderId="17" xfId="0" applyFont="1" applyFill="1" applyBorder="1" applyAlignment="1">
      <alignment horizontal="center" vertical="center"/>
    </xf>
    <xf numFmtId="0" fontId="5" fillId="3" borderId="0" xfId="0" applyFont="1" applyFill="1" applyAlignment="1">
      <alignment horizontal="center" vertical="center"/>
    </xf>
    <xf numFmtId="0" fontId="5" fillId="13" borderId="0" xfId="0" applyFont="1" applyFill="1" applyAlignment="1">
      <alignment horizontal="center" vertical="center"/>
    </xf>
    <xf numFmtId="0" fontId="7" fillId="13" borderId="8" xfId="0" applyFont="1" applyFill="1" applyBorder="1" applyAlignment="1">
      <alignment horizontal="center" vertical="center"/>
    </xf>
    <xf numFmtId="9" fontId="2" fillId="13" borderId="8" xfId="0" applyNumberFormat="1" applyFont="1" applyFill="1" applyBorder="1" applyAlignment="1">
      <alignment horizontal="center" vertical="center"/>
    </xf>
    <xf numFmtId="9" fontId="2" fillId="12" borderId="0" xfId="0" applyNumberFormat="1" applyFont="1" applyFill="1" applyAlignment="1">
      <alignment horizontal="center" vertical="center"/>
    </xf>
    <xf numFmtId="9" fontId="2" fillId="10" borderId="18" xfId="0" applyNumberFormat="1" applyFont="1" applyFill="1" applyBorder="1" applyAlignment="1">
      <alignment horizontal="center" vertical="center"/>
    </xf>
    <xf numFmtId="17" fontId="1" fillId="0" borderId="0" xfId="0" applyNumberFormat="1" applyFont="1" applyAlignment="1">
      <alignment vertical="center"/>
    </xf>
    <xf numFmtId="0" fontId="2" fillId="12" borderId="8" xfId="0" applyFont="1" applyFill="1" applyBorder="1" applyAlignment="1">
      <alignment horizontal="center" vertical="center"/>
    </xf>
    <xf numFmtId="0" fontId="2" fillId="12" borderId="9" xfId="0" applyFont="1" applyFill="1" applyBorder="1" applyAlignment="1">
      <alignment horizontal="center" vertical="center"/>
    </xf>
    <xf numFmtId="0" fontId="2" fillId="12" borderId="10" xfId="0" applyFont="1" applyFill="1" applyBorder="1" applyAlignment="1">
      <alignment horizontal="center" vertical="center"/>
    </xf>
    <xf numFmtId="9" fontId="2" fillId="12" borderId="11" xfId="0" applyNumberFormat="1" applyFont="1" applyFill="1" applyBorder="1" applyAlignment="1">
      <alignment horizontal="center" vertical="center"/>
    </xf>
    <xf numFmtId="0" fontId="2" fillId="6" borderId="8" xfId="0" applyFont="1" applyFill="1" applyBorder="1" applyAlignment="1">
      <alignment horizontal="center" vertical="center"/>
    </xf>
    <xf numFmtId="17" fontId="2" fillId="6" borderId="8" xfId="0" applyNumberFormat="1" applyFont="1" applyFill="1" applyBorder="1" applyAlignment="1">
      <alignment horizontal="center" vertical="center"/>
    </xf>
    <xf numFmtId="0" fontId="2" fillId="6" borderId="8" xfId="0" applyFont="1" applyFill="1" applyBorder="1" applyAlignment="1">
      <alignment horizontal="right" vertical="center" wrapText="1" indent="1"/>
    </xf>
    <xf numFmtId="0" fontId="2" fillId="12" borderId="8" xfId="0" applyFont="1" applyFill="1" applyBorder="1" applyAlignment="1">
      <alignment horizontal="right" vertical="center" wrapText="1" indent="1"/>
    </xf>
    <xf numFmtId="0" fontId="2" fillId="6" borderId="8" xfId="0" applyFont="1" applyFill="1" applyBorder="1" applyAlignment="1">
      <alignment horizontal="left" vertical="center" indent="1"/>
    </xf>
    <xf numFmtId="17" fontId="2" fillId="6" borderId="8" xfId="0" applyNumberFormat="1" applyFont="1" applyFill="1" applyBorder="1" applyAlignment="1">
      <alignment horizontal="left" vertical="center" indent="1"/>
    </xf>
    <xf numFmtId="0" fontId="2" fillId="12" borderId="8" xfId="0" applyFont="1" applyFill="1" applyBorder="1" applyAlignment="1">
      <alignment horizontal="center" vertical="center" wrapText="1"/>
    </xf>
    <xf numFmtId="0" fontId="2" fillId="4" borderId="16" xfId="0" applyFont="1" applyFill="1" applyBorder="1" applyAlignment="1">
      <alignment horizontal="center" vertical="center"/>
    </xf>
    <xf numFmtId="49" fontId="9" fillId="3" borderId="8" xfId="0" applyNumberFormat="1" applyFont="1" applyFill="1" applyBorder="1" applyAlignment="1">
      <alignment horizontal="center" vertical="center"/>
    </xf>
    <xf numFmtId="0" fontId="4" fillId="0" borderId="0" xfId="0" applyFont="1" applyAlignment="1">
      <alignment horizontal="center" vertical="center"/>
    </xf>
    <xf numFmtId="9" fontId="4" fillId="0" borderId="0" xfId="1" applyFont="1" applyFill="1" applyBorder="1" applyAlignment="1">
      <alignment horizontal="center" vertical="center"/>
    </xf>
    <xf numFmtId="9" fontId="2" fillId="0" borderId="8" xfId="1" applyFont="1" applyFill="1" applyBorder="1" applyAlignment="1">
      <alignment horizontal="center" vertical="center"/>
    </xf>
    <xf numFmtId="49" fontId="4" fillId="12" borderId="0" xfId="0" applyNumberFormat="1" applyFont="1" applyFill="1" applyAlignment="1">
      <alignment horizontal="center" vertical="center"/>
    </xf>
    <xf numFmtId="0" fontId="11" fillId="0" borderId="0" xfId="0" applyFont="1" applyAlignment="1">
      <alignment vertical="center"/>
    </xf>
    <xf numFmtId="0" fontId="12" fillId="0" borderId="8" xfId="0" applyFont="1" applyBorder="1"/>
    <xf numFmtId="0" fontId="13" fillId="0" borderId="8" xfId="0" applyFont="1" applyBorder="1" applyAlignment="1">
      <alignment horizontal="center" vertical="center" wrapText="1"/>
    </xf>
    <xf numFmtId="0" fontId="13" fillId="0" borderId="0" xfId="0" applyFont="1" applyAlignment="1">
      <alignment vertical="center"/>
    </xf>
    <xf numFmtId="0" fontId="13" fillId="0" borderId="8" xfId="0" applyFont="1" applyBorder="1" applyAlignment="1">
      <alignment horizontal="right" vertical="center" indent="1"/>
    </xf>
    <xf numFmtId="0" fontId="12" fillId="0" borderId="8" xfId="0" applyFont="1" applyBorder="1" applyAlignment="1">
      <alignment horizontal="right" vertical="center"/>
    </xf>
    <xf numFmtId="0" fontId="13" fillId="0" borderId="8" xfId="0" applyFont="1" applyBorder="1" applyAlignment="1">
      <alignment horizontal="right" vertical="center" wrapText="1" indent="1"/>
    </xf>
    <xf numFmtId="0" fontId="12" fillId="0" borderId="8" xfId="0" applyFont="1" applyBorder="1" applyAlignment="1">
      <alignment vertical="center"/>
    </xf>
    <xf numFmtId="49" fontId="4" fillId="12" borderId="8" xfId="0" applyNumberFormat="1" applyFont="1" applyFill="1" applyBorder="1" applyAlignment="1">
      <alignment horizontal="center" vertical="center"/>
    </xf>
    <xf numFmtId="0" fontId="4" fillId="12" borderId="8" xfId="0" applyFont="1" applyFill="1" applyBorder="1" applyAlignment="1">
      <alignment horizontal="center" vertical="center"/>
    </xf>
    <xf numFmtId="0" fontId="14" fillId="12" borderId="8" xfId="0" applyFont="1" applyFill="1" applyBorder="1" applyAlignment="1">
      <alignment horizontal="right" vertical="center"/>
    </xf>
    <xf numFmtId="0" fontId="14" fillId="12" borderId="8" xfId="0" applyFont="1" applyFill="1" applyBorder="1" applyAlignment="1">
      <alignment horizontal="right" vertical="center" wrapText="1" indent="1"/>
    </xf>
    <xf numFmtId="0" fontId="14" fillId="12" borderId="0" xfId="0" applyFont="1" applyFill="1" applyAlignment="1">
      <alignment horizontal="right" vertical="center"/>
    </xf>
    <xf numFmtId="0" fontId="14" fillId="0" borderId="8" xfId="0" applyFont="1" applyBorder="1" applyAlignment="1">
      <alignment horizontal="right" vertical="center" wrapText="1" indent="1"/>
    </xf>
    <xf numFmtId="0" fontId="14" fillId="0" borderId="0" xfId="0" applyFont="1" applyAlignment="1">
      <alignment horizontal="right" vertical="center"/>
    </xf>
    <xf numFmtId="49" fontId="14" fillId="12" borderId="8" xfId="0" applyNumberFormat="1" applyFont="1" applyFill="1" applyBorder="1" applyAlignment="1">
      <alignment horizontal="center" vertical="center"/>
    </xf>
    <xf numFmtId="49" fontId="14" fillId="14" borderId="8" xfId="0" applyNumberFormat="1" applyFont="1" applyFill="1" applyBorder="1" applyAlignment="1">
      <alignment horizontal="center" vertical="center"/>
    </xf>
    <xf numFmtId="49" fontId="4" fillId="14" borderId="8" xfId="0" applyNumberFormat="1" applyFont="1" applyFill="1" applyBorder="1" applyAlignment="1">
      <alignment horizontal="center" vertical="center"/>
    </xf>
    <xf numFmtId="49" fontId="14" fillId="3" borderId="8" xfId="0" applyNumberFormat="1" applyFont="1" applyFill="1" applyBorder="1" applyAlignment="1">
      <alignment horizontal="center" vertical="center"/>
    </xf>
    <xf numFmtId="17" fontId="1" fillId="0" borderId="0" xfId="0" applyNumberFormat="1" applyFont="1" applyAlignment="1">
      <alignment horizontal="center" vertical="center"/>
    </xf>
    <xf numFmtId="17" fontId="2" fillId="12" borderId="8" xfId="0" applyNumberFormat="1" applyFont="1" applyFill="1" applyBorder="1" applyAlignment="1">
      <alignment horizontal="center" vertical="center"/>
    </xf>
    <xf numFmtId="0" fontId="3" fillId="2" borderId="20" xfId="0" applyFont="1" applyFill="1" applyBorder="1" applyAlignment="1">
      <alignment horizontal="center" vertical="center"/>
    </xf>
    <xf numFmtId="0" fontId="3" fillId="2" borderId="0" xfId="0" applyFont="1" applyFill="1" applyAlignment="1">
      <alignment horizontal="center" vertical="center"/>
    </xf>
    <xf numFmtId="0" fontId="4" fillId="11" borderId="8" xfId="0" applyFont="1" applyFill="1" applyBorder="1" applyAlignment="1">
      <alignment horizontal="center" vertical="center"/>
    </xf>
    <xf numFmtId="0" fontId="2" fillId="12" borderId="8" xfId="0" applyFont="1" applyFill="1" applyBorder="1" applyAlignment="1">
      <alignment horizontal="center" vertical="center" wrapText="1"/>
    </xf>
    <xf numFmtId="0" fontId="2" fillId="12" borderId="9"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2" borderId="11" xfId="0" applyFont="1" applyFill="1" applyBorder="1" applyAlignment="1">
      <alignment horizontal="center" vertical="center" wrapText="1"/>
    </xf>
    <xf numFmtId="17" fontId="2" fillId="0" borderId="18" xfId="0" applyNumberFormat="1" applyFont="1" applyBorder="1" applyAlignment="1">
      <alignment horizontal="center" vertical="center"/>
    </xf>
    <xf numFmtId="17" fontId="2" fillId="0" borderId="21" xfId="0" applyNumberFormat="1" applyFont="1" applyBorder="1" applyAlignment="1">
      <alignment horizontal="center" vertical="center"/>
    </xf>
    <xf numFmtId="17" fontId="2" fillId="0" borderId="16" xfId="0" applyNumberFormat="1" applyFont="1" applyBorder="1" applyAlignment="1">
      <alignment horizontal="center" vertical="center"/>
    </xf>
    <xf numFmtId="17" fontId="2" fillId="6" borderId="18" xfId="0" applyNumberFormat="1" applyFont="1" applyFill="1" applyBorder="1" applyAlignment="1">
      <alignment horizontal="center" vertical="center"/>
    </xf>
    <xf numFmtId="17" fontId="2" fillId="6" borderId="21" xfId="0" applyNumberFormat="1" applyFont="1" applyFill="1" applyBorder="1" applyAlignment="1">
      <alignment horizontal="center" vertical="center"/>
    </xf>
    <xf numFmtId="17" fontId="2" fillId="6" borderId="16" xfId="0" applyNumberFormat="1" applyFont="1" applyFill="1" applyBorder="1" applyAlignment="1">
      <alignment horizontal="center" vertical="center"/>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6" xfId="0" applyFont="1" applyFill="1" applyBorder="1" applyAlignment="1">
      <alignment horizontal="center" vertical="center"/>
    </xf>
    <xf numFmtId="0" fontId="2" fillId="4" borderId="8" xfId="0" applyFont="1" applyFill="1" applyBorder="1" applyAlignment="1">
      <alignment horizontal="center" vertical="center"/>
    </xf>
    <xf numFmtId="9" fontId="2" fillId="0" borderId="8" xfId="0" applyNumberFormat="1" applyFont="1" applyBorder="1" applyAlignment="1">
      <alignment horizontal="center" vertical="center"/>
    </xf>
    <xf numFmtId="0" fontId="2" fillId="10" borderId="9" xfId="0" applyFont="1" applyFill="1" applyBorder="1" applyAlignment="1">
      <alignment horizontal="center" vertical="center"/>
    </xf>
    <xf numFmtId="0" fontId="2" fillId="10" borderId="10" xfId="0" applyFont="1" applyFill="1" applyBorder="1" applyAlignment="1">
      <alignment horizontal="center" vertical="center"/>
    </xf>
    <xf numFmtId="0" fontId="2" fillId="10" borderId="11" xfId="0" applyFont="1" applyFill="1" applyBorder="1" applyAlignment="1">
      <alignment horizontal="center" vertical="center"/>
    </xf>
    <xf numFmtId="0" fontId="5" fillId="7" borderId="8"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5" fillId="7" borderId="11"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0" xfId="0" applyFont="1" applyFill="1" applyAlignment="1">
      <alignment horizontal="center" vertical="center"/>
    </xf>
    <xf numFmtId="0" fontId="4" fillId="3" borderId="8" xfId="0" applyFont="1" applyFill="1" applyBorder="1" applyAlignment="1">
      <alignment horizontal="center" vertical="center"/>
    </xf>
    <xf numFmtId="0" fontId="2" fillId="6" borderId="8" xfId="0" applyFont="1" applyFill="1" applyBorder="1" applyAlignment="1">
      <alignment horizontal="center" vertical="center" wrapText="1"/>
    </xf>
    <xf numFmtId="0" fontId="2" fillId="0" borderId="8" xfId="0" applyFont="1" applyBorder="1" applyAlignment="1">
      <alignment horizontal="center" vertical="center" wrapText="1"/>
    </xf>
    <xf numFmtId="0" fontId="4" fillId="3" borderId="13" xfId="0" applyFont="1" applyFill="1" applyBorder="1" applyAlignment="1">
      <alignment horizontal="center" vertical="center"/>
    </xf>
    <xf numFmtId="0" fontId="4" fillId="3" borderId="12" xfId="0" applyFont="1" applyFill="1" applyBorder="1" applyAlignment="1">
      <alignment horizontal="center" vertical="center"/>
    </xf>
    <xf numFmtId="0" fontId="2" fillId="10" borderId="8" xfId="0" applyFont="1" applyFill="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6" xfId="0" applyFont="1" applyBorder="1" applyAlignment="1">
      <alignment horizontal="center" vertical="center"/>
    </xf>
    <xf numFmtId="0" fontId="2" fillId="4" borderId="18" xfId="0" applyFont="1" applyFill="1" applyBorder="1" applyAlignment="1">
      <alignment horizontal="center" vertical="center"/>
    </xf>
    <xf numFmtId="0" fontId="2" fillId="4" borderId="21" xfId="0" applyFont="1" applyFill="1" applyBorder="1" applyAlignment="1">
      <alignment horizontal="center" vertical="center"/>
    </xf>
    <xf numFmtId="17" fontId="2" fillId="4" borderId="18" xfId="0" applyNumberFormat="1" applyFont="1" applyFill="1" applyBorder="1" applyAlignment="1">
      <alignment horizontal="center" vertical="center"/>
    </xf>
    <xf numFmtId="17" fontId="1" fillId="0" borderId="17" xfId="0" applyNumberFormat="1" applyFont="1" applyBorder="1" applyAlignment="1">
      <alignment horizontal="center" vertical="center" wrapText="1"/>
    </xf>
    <xf numFmtId="0" fontId="1" fillId="0" borderId="22" xfId="0" applyFont="1" applyBorder="1" applyAlignment="1">
      <alignment horizontal="center" vertical="center" wrapText="1"/>
    </xf>
    <xf numFmtId="17" fontId="1" fillId="6" borderId="22" xfId="0" applyNumberFormat="1" applyFont="1" applyFill="1" applyBorder="1" applyAlignment="1">
      <alignment horizontal="center" vertical="center"/>
    </xf>
    <xf numFmtId="0" fontId="1" fillId="6" borderId="22" xfId="0" applyFont="1" applyFill="1" applyBorder="1" applyAlignment="1">
      <alignment horizontal="center" vertical="center"/>
    </xf>
    <xf numFmtId="17" fontId="2" fillId="0" borderId="17" xfId="0" applyNumberFormat="1" applyFont="1" applyBorder="1" applyAlignment="1">
      <alignment horizontal="center" vertical="center"/>
    </xf>
    <xf numFmtId="0" fontId="2" fillId="0" borderId="22" xfId="0" applyFont="1" applyBorder="1" applyAlignment="1">
      <alignment horizontal="center" vertical="center"/>
    </xf>
    <xf numFmtId="0" fontId="2" fillId="6" borderId="9"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8" xfId="0" applyFont="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19" xfId="0" applyFont="1" applyFill="1" applyBorder="1" applyAlignment="1">
      <alignment horizontal="center" vertical="center"/>
    </xf>
    <xf numFmtId="0" fontId="5" fillId="7" borderId="16" xfId="0" applyFont="1" applyFill="1" applyBorder="1" applyAlignment="1">
      <alignment horizontal="center" vertical="center"/>
    </xf>
    <xf numFmtId="0" fontId="2" fillId="10" borderId="18"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9" fontId="2" fillId="0" borderId="9" xfId="0" applyNumberFormat="1" applyFont="1" applyBorder="1" applyAlignment="1">
      <alignment horizontal="center" vertical="center"/>
    </xf>
    <xf numFmtId="9" fontId="2" fillId="0" borderId="10" xfId="0" applyNumberFormat="1" applyFont="1" applyBorder="1" applyAlignment="1">
      <alignment horizontal="center" vertical="center"/>
    </xf>
    <xf numFmtId="9" fontId="2" fillId="0" borderId="11" xfId="0" applyNumberFormat="1" applyFont="1" applyBorder="1" applyAlignment="1">
      <alignment horizontal="center" vertical="center"/>
    </xf>
    <xf numFmtId="0" fontId="2" fillId="10" borderId="14" xfId="0" applyFont="1" applyFill="1" applyBorder="1" applyAlignment="1">
      <alignment horizontal="center" vertical="center"/>
    </xf>
    <xf numFmtId="0" fontId="2" fillId="10" borderId="15" xfId="0" applyFont="1" applyFill="1" applyBorder="1" applyAlignment="1">
      <alignment horizontal="center" vertical="center"/>
    </xf>
    <xf numFmtId="0" fontId="2" fillId="10" borderId="17"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9" fontId="1" fillId="6" borderId="2" xfId="0" applyNumberFormat="1" applyFont="1" applyFill="1" applyBorder="1" applyAlignment="1">
      <alignment horizontal="center" vertical="center"/>
    </xf>
    <xf numFmtId="9" fontId="1" fillId="6" borderId="3"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3" xfId="0" applyFont="1" applyFill="1" applyBorder="1" applyAlignment="1">
      <alignment horizontal="center" vertical="center"/>
    </xf>
  </cellXfs>
  <cellStyles count="2">
    <cellStyle name="Normal" xfId="0" builtinId="0"/>
    <cellStyle name="Percent" xfId="1" builtinId="5"/>
  </cellStyles>
  <dxfs count="31">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
      <font>
        <color theme="0"/>
      </font>
      <fill>
        <patternFill patternType="solid">
          <bgColor rgb="FFC00000"/>
        </patternFill>
      </fill>
    </dxf>
  </dxfs>
  <tableStyles count="0" defaultTableStyle="TableStyleMedium2" defaultPivotStyle="PivotStyleLight16"/>
  <colors>
    <mruColors>
      <color rgb="FFFF4F4F"/>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النظافة</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0.88</c:v>
                </c:pt>
                <c:pt idx="1">
                  <c:v>0.92</c:v>
                </c:pt>
                <c:pt idx="2">
                  <c:v>0.92</c:v>
                </c:pt>
              </c:numCache>
            </c:numRef>
          </c:val>
          <c:smooth val="0"/>
          <c:extLst>
            <c:ext xmlns:c16="http://schemas.microsoft.com/office/drawing/2014/chart" uri="{C3380CC4-5D6E-409C-BE32-E72D297353CC}">
              <c16:uniqueId val="{00000001-5CC6-DB42-903A-06E8A46320DE}"/>
            </c:ext>
          </c:extLst>
        </c:ser>
        <c:dLbls>
          <c:showLegendKey val="0"/>
          <c:showVal val="1"/>
          <c:showCatName val="0"/>
          <c:showSerName val="0"/>
          <c:showPercent val="0"/>
          <c:showBubbleSize val="0"/>
        </c:dLbls>
        <c:marker val="1"/>
        <c:smooth val="0"/>
        <c:axId val="228387648"/>
        <c:axId val="354802544"/>
      </c:lineChart>
      <c:dateAx>
        <c:axId val="228387648"/>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54802544"/>
        <c:crosses val="autoZero"/>
        <c:auto val="1"/>
        <c:lblOffset val="100"/>
        <c:baseTimeUnit val="months"/>
      </c:dateAx>
      <c:valAx>
        <c:axId val="354802544"/>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228387648"/>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c07ad1b9-7e02-41f8-b245-3aa9bc2e96ed}"/>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أعمال الأكسجين الطبي السائل</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1363-824A-A045-6BB5FBCA220D}"/>
            </c:ext>
          </c:extLst>
        </c:ser>
        <c:dLbls>
          <c:showLegendKey val="0"/>
          <c:showVal val="1"/>
          <c:showCatName val="0"/>
          <c:showSerName val="0"/>
          <c:showPercent val="0"/>
          <c:showBubbleSize val="0"/>
        </c:dLbls>
        <c:marker val="1"/>
        <c:smooth val="0"/>
        <c:axId val="129476336"/>
        <c:axId val="359092016"/>
      </c:lineChart>
      <c:dateAx>
        <c:axId val="129476336"/>
        <c:scaling>
          <c:orientation val="minMax"/>
        </c:scaling>
        <c:delete val="0"/>
        <c:axPos val="b"/>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59092016"/>
        <c:crosses val="autoZero"/>
        <c:auto val="1"/>
        <c:lblOffset val="100"/>
        <c:baseTimeUnit val="months"/>
      </c:dateAx>
      <c:valAx>
        <c:axId val="35909201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129476336"/>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b68cb644-9642-4db3-8b2f-fed4aa4f0341}"/>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الأمن والحراسة</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0.928571</c:v>
                </c:pt>
                <c:pt idx="1">
                  <c:v>0.928571</c:v>
                </c:pt>
                <c:pt idx="2">
                  <c:v>0.928571</c:v>
                </c:pt>
              </c:numCache>
            </c:numRef>
          </c:val>
          <c:smooth val="0"/>
          <c:extLst>
            <c:ext xmlns:c16="http://schemas.microsoft.com/office/drawing/2014/chart" uri="{C3380CC4-5D6E-409C-BE32-E72D297353CC}">
              <c16:uniqueId val="{00000001-9405-9B46-BBF1-2E93FBECAAEF}"/>
            </c:ext>
          </c:extLst>
        </c:ser>
        <c:dLbls>
          <c:showLegendKey val="0"/>
          <c:showVal val="1"/>
          <c:showCatName val="0"/>
          <c:showSerName val="0"/>
          <c:showPercent val="0"/>
          <c:showBubbleSize val="0"/>
        </c:dLbls>
        <c:marker val="1"/>
        <c:smooth val="0"/>
        <c:axId val="359086136"/>
        <c:axId val="359085744"/>
      </c:lineChart>
      <c:dateAx>
        <c:axId val="359086136"/>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59085744"/>
        <c:crosses val="autoZero"/>
        <c:auto val="1"/>
        <c:lblOffset val="100"/>
        <c:baseTimeUnit val="months"/>
      </c:dateAx>
      <c:valAx>
        <c:axId val="359085744"/>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59086136"/>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b9d483c2-b898-4328-8997-430e62cbe950}"/>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الأمن والحراسة</a:t>
            </a:r>
          </a:p>
        </c:rich>
      </c:tx>
      <c:overlay val="0"/>
    </c:title>
    <c:autoTitleDeleted val="0"/>
    <c:plotArea>
      <c:layout>
        <c:manualLayout>
          <c:layoutTarget val="inner"/>
          <c:xMode val="edge"/>
          <c:yMode val="edge"/>
          <c:x val="8.3806362638259205E-2"/>
          <c:y val="0.15325302459065801"/>
          <c:w val="0.89229915076223798"/>
          <c:h val="0.71906914651357301"/>
        </c:manualLayout>
      </c:layout>
      <c:lineChart>
        <c:grouping val="standard"/>
        <c:varyColors val="0"/>
        <c:ser>
          <c:idx val="0"/>
          <c:order val="0"/>
          <c:tx>
            <c:strRef>
              <c:f>'  Chart    '!$D$12</c:f>
              <c:strCache>
                <c:ptCount val="1"/>
                <c:pt idx="0">
                  <c:v>النسبة</c:v>
                </c:pt>
              </c:strCache>
            </c:strRef>
          </c:tx>
          <c:spPr>
            <a:ln w="19050" cap="rnd" cmpd="sng" algn="ctr">
              <a:solidFill>
                <a:srgbClr val="0070C0"/>
              </a:solidFill>
              <a:prstDash val="solid"/>
              <a:round/>
            </a:ln>
          </c:spPr>
          <c:marker>
            <c:symbol val="circle"/>
            <c:size val="6"/>
            <c:spPr>
              <a:solidFill>
                <a:schemeClr val="tx1"/>
              </a:solidFill>
              <a:ln w="6350" cap="flat" cmpd="sng" algn="ctr">
                <a:solidFill>
                  <a:srgbClr val="0070C0"/>
                </a:solidFill>
                <a:prstDash val="solid"/>
                <a:round/>
              </a:ln>
            </c:spPr>
          </c:marker>
          <c:dLbls>
            <c:spPr>
              <a:noFill/>
              <a:ln>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trendline>
            <c:spPr>
              <a:ln w="12700" cap="rnd" cmpd="sng" algn="ctr">
                <a:solidFill>
                  <a:schemeClr val="accent2"/>
                </a:solidFill>
                <a:prstDash val="dash"/>
                <a:round/>
              </a:ln>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0.928571</c:v>
                </c:pt>
                <c:pt idx="1">
                  <c:v>0.928571</c:v>
                </c:pt>
                <c:pt idx="2">
                  <c:v>0.928571</c:v>
                </c:pt>
              </c:numCache>
            </c:numRef>
          </c:val>
          <c:smooth val="0"/>
          <c:extLst>
            <c:ext xmlns:c16="http://schemas.microsoft.com/office/drawing/2014/chart" uri="{C3380CC4-5D6E-409C-BE32-E72D297353CC}">
              <c16:uniqueId val="{00000001-3DB1-6C49-8F33-34BE193C3750}"/>
            </c:ext>
          </c:extLst>
        </c:ser>
        <c:dLbls>
          <c:showLegendKey val="0"/>
          <c:showVal val="1"/>
          <c:showCatName val="0"/>
          <c:showSerName val="0"/>
          <c:showPercent val="0"/>
          <c:showBubbleSize val="0"/>
        </c:dLbls>
        <c:marker val="1"/>
        <c:smooth val="0"/>
        <c:axId val="74468736"/>
        <c:axId val="74470528"/>
      </c:lineChart>
      <c:catAx>
        <c:axId val="74468736"/>
        <c:scaling>
          <c:orientation val="minMax"/>
        </c:scaling>
        <c:delete val="0"/>
        <c:axPos val="b"/>
        <c:numFmt formatCode="General" sourceLinked="1"/>
        <c:majorTickMark val="none"/>
        <c:minorTickMark val="none"/>
        <c:tickLblPos val="nextTo"/>
        <c:txPr>
          <a:bodyPr rot="-60000000" spcFirstLastPara="0"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crossAx val="74470528"/>
        <c:crosses val="autoZero"/>
        <c:auto val="1"/>
        <c:lblAlgn val="ctr"/>
        <c:lblOffset val="100"/>
        <c:noMultiLvlLbl val="0"/>
      </c:catAx>
      <c:valAx>
        <c:axId val="74470528"/>
        <c:scaling>
          <c:orientation val="minMax"/>
        </c:scaling>
        <c:delete val="0"/>
        <c:axPos val="l"/>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468736"/>
        <c:crosses val="autoZero"/>
        <c:crossBetween val="between"/>
      </c:valAx>
      <c:spPr>
        <a:pattFill prst="ltDnDiag">
          <a:fgClr>
            <a:schemeClr val="bg1">
              <a:lumMod val="95000"/>
            </a:schemeClr>
          </a:fgClr>
          <a:bgClr>
            <a:schemeClr val="bg1"/>
          </a:bgClr>
        </a:pattFill>
        <a:ln>
          <a:solidFill>
            <a:schemeClr val="bg1">
              <a:lumMod val="95000"/>
            </a:schemeClr>
          </a:solidFill>
        </a:ln>
      </c:spPr>
    </c:plotArea>
    <c:plotVisOnly val="1"/>
    <c:dispBlanksAs val="gap"/>
    <c:showDLblsOverMax val="0"/>
    <c:extLst>
      <c:ext uri="{0b15fc19-7d7d-44ad-8c2d-2c3a37ce22c3}">
        <chartProps xmlns="https://web.wps.cn/et/2018/main" chartId="{680f0b7b-87e4-42cb-b968-366aa6815ceb}"/>
      </c:ext>
    </c:extLst>
  </c:chart>
  <c:spPr>
    <a:ln w="6350" cap="flat" cmpd="sng" algn="ctr">
      <a:solidFill>
        <a:schemeClr val="bg1">
          <a:lumMod val="95000"/>
        </a:schemeClr>
      </a:solidFill>
      <a:prstDash val="solid"/>
      <a:round/>
    </a:ln>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تداول النفايات</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Chart'!$A$13:$A$15</c:f>
              <c:strCache>
                <c:ptCount val="3"/>
                <c:pt idx="0">
                  <c:v>3/2026</c:v>
                </c:pt>
                <c:pt idx="1">
                  <c:v>6/2026</c:v>
                </c:pt>
                <c:pt idx="2">
                  <c:v>9/2026</c:v>
                </c:pt>
              </c:strCache>
            </c:strRef>
          </c:cat>
          <c:val>
            <c:numRef>
              <c:f>'    Chart'!$D$13:$D$15</c:f>
              <c:numCache>
                <c:formatCode>0%</c:formatCode>
                <c:ptCount val="3"/>
                <c:pt idx="0">
                  <c:v>1.0</c:v>
                </c:pt>
                <c:pt idx="1">
                  <c:v>1.0</c:v>
                </c:pt>
                <c:pt idx="2">
                  <c:v>1.0</c:v>
                </c:pt>
              </c:numCache>
            </c:numRef>
          </c:val>
          <c:smooth val="0"/>
          <c:extLst>
            <c:ext xmlns:c16="http://schemas.microsoft.com/office/drawing/2014/chart" uri="{C3380CC4-5D6E-409C-BE32-E72D297353CC}">
              <c16:uniqueId val="{00000001-0FC2-664F-BE41-E3910E671661}"/>
            </c:ext>
          </c:extLst>
        </c:ser>
        <c:dLbls>
          <c:showLegendKey val="0"/>
          <c:showVal val="1"/>
          <c:showCatName val="0"/>
          <c:showSerName val="0"/>
          <c:showPercent val="0"/>
          <c:showBubbleSize val="0"/>
        </c:dLbls>
        <c:marker val="1"/>
        <c:smooth val="0"/>
        <c:axId val="359092800"/>
        <c:axId val="359090840"/>
      </c:lineChart>
      <c:dateAx>
        <c:axId val="359092800"/>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59090840"/>
        <c:crosses val="autoZero"/>
        <c:auto val="1"/>
        <c:lblOffset val="100"/>
        <c:baseTimeUnit val="months"/>
      </c:dateAx>
      <c:valAx>
        <c:axId val="35909084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59092800"/>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152bddb4-6c72-49b5-b604-27c7ba9aea2b}"/>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توريد دم</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E3B5-124A-8027-D34E8C9BDC43}"/>
            </c:ext>
          </c:extLst>
        </c:ser>
        <c:dLbls>
          <c:showLegendKey val="0"/>
          <c:showVal val="1"/>
          <c:showCatName val="0"/>
          <c:showSerName val="0"/>
          <c:showPercent val="0"/>
          <c:showBubbleSize val="0"/>
        </c:dLbls>
        <c:marker val="1"/>
        <c:smooth val="0"/>
        <c:axId val="359090056"/>
        <c:axId val="359091624"/>
      </c:lineChart>
      <c:dateAx>
        <c:axId val="359090056"/>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59091624"/>
        <c:crosses val="autoZero"/>
        <c:auto val="1"/>
        <c:lblOffset val="100"/>
        <c:baseTimeUnit val="months"/>
      </c:dateAx>
      <c:valAx>
        <c:axId val="359091624"/>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59090056"/>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e373db70-21eb-49d4-8838-9d04a6370ed0}"/>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المخلفات غير الطبية</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'Chart (9)'!$D$12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'Chart (9)'!$A$13:$A$17</c:f>
              <c:strCache>
                <c:ptCount val="5"/>
                <c:pt idx="0">
                  <c:v>يونيو 2022</c:v>
                </c:pt>
                <c:pt idx="1">
                  <c:v>سبتمبر 2022</c:v>
                </c:pt>
                <c:pt idx="2">
                  <c:v>ديسمبر 2022</c:v>
                </c:pt>
                <c:pt idx="3">
                  <c:v>مارس 2023</c:v>
                </c:pt>
                <c:pt idx="4">
                  <c:v>يونيو 2023</c:v>
                </c:pt>
              </c:strCache>
            </c:strRef>
          </c:cat>
          <c:val>
            <c:numRef>
              <c:f>'Chart (9)'!$D$13:$D$17</c:f>
              <c:numCache>
                <c:formatCode>0%</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1-AF8F-5E4A-B05B-92B265B81B74}"/>
            </c:ext>
          </c:extLst>
        </c:ser>
        <c:dLbls>
          <c:showLegendKey val="0"/>
          <c:showVal val="1"/>
          <c:showCatName val="0"/>
          <c:showSerName val="0"/>
          <c:showPercent val="0"/>
          <c:showBubbleSize val="0"/>
        </c:dLbls>
        <c:marker val="1"/>
        <c:smooth val="0"/>
        <c:axId val="340709872"/>
        <c:axId val="340712224"/>
      </c:lineChart>
      <c:catAx>
        <c:axId val="340709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2224"/>
        <c:crosses val="autoZero"/>
        <c:auto val="1"/>
        <c:lblAlgn val="ctr"/>
        <c:lblOffset val="100"/>
        <c:noMultiLvlLbl val="0"/>
      </c:catAx>
      <c:valAx>
        <c:axId val="340712224"/>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09872"/>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7ddac34e-8de5-4eaa-8e6f-9b075ab04e2d}"/>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توريد وإعداد الوجبات</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0.88</c:v>
                </c:pt>
                <c:pt idx="1">
                  <c:v>0.92</c:v>
                </c:pt>
                <c:pt idx="2">
                  <c:v>0.92</c:v>
                </c:pt>
              </c:numCache>
            </c:numRef>
          </c:val>
          <c:smooth val="0"/>
          <c:extLst>
            <c:ext xmlns:c16="http://schemas.microsoft.com/office/drawing/2014/chart" uri="{C3380CC4-5D6E-409C-BE32-E72D297353CC}">
              <c16:uniqueId val="{00000001-DF89-C74E-AE29-339F0B9B4A71}"/>
            </c:ext>
          </c:extLst>
        </c:ser>
        <c:dLbls>
          <c:showLegendKey val="0"/>
          <c:showVal val="1"/>
          <c:showCatName val="0"/>
          <c:showSerName val="0"/>
          <c:showPercent val="0"/>
          <c:showBubbleSize val="0"/>
        </c:dLbls>
        <c:marker val="1"/>
        <c:smooth val="0"/>
        <c:axId val="340710264"/>
        <c:axId val="340711048"/>
      </c:lineChart>
      <c:dateAx>
        <c:axId val="340710264"/>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1048"/>
        <c:crosses val="autoZero"/>
        <c:auto val="1"/>
        <c:lblOffset val="100"/>
        <c:baseTimeUnit val="months"/>
      </c:dateAx>
      <c:valAx>
        <c:axId val="340711048"/>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026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ca8cfd8b-d706-41b4-9eca-2df2f2d7583e}"/>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توريد وإعداد الوجبات</a:t>
            </a:r>
          </a:p>
        </c:rich>
      </c:tx>
      <c:overlay val="0"/>
      <c:spPr>
        <a:noFill/>
        <a:ln>
          <a:noFill/>
        </a:ln>
        <a:effectLst/>
      </c:spPr>
    </c:title>
    <c:autoTitleDeleted val="0"/>
    <c:plotArea>
      <c:layout>
        <c:manualLayout>
          <c:layoutTarget val="inner"/>
          <c:xMode val="edge"/>
          <c:yMode val="edge"/>
          <c:x val="6.8925266485761402E-2"/>
          <c:y val="0.15214934525191601"/>
          <c:w val="0.91302316002664596"/>
          <c:h val="0.78385262140914602"/>
        </c:manualLayout>
      </c:layout>
      <c:lineChart>
        <c:grouping val="standard"/>
        <c:varyColors val="0"/>
        <c:ser>
          <c:idx val="0"/>
          <c:order val="0"/>
          <c:tx>
            <c:strRef>
              <c:f>'   Chart  '!$D$12</c:f>
              <c:strCache>
                <c:ptCount val="1"/>
                <c:pt idx="0">
                  <c:v>النسبة</c:v>
                </c:pt>
              </c:strCache>
            </c:strRef>
          </c:tx>
          <c:spPr>
            <a:ln w="28575" cap="rnd" cmpd="sng" algn="ctr">
              <a:solidFill>
                <a:srgbClr val="0070C0"/>
              </a:solidFill>
              <a:prstDash val="solid"/>
              <a:round/>
            </a:ln>
            <a:effectLst/>
          </c:spPr>
          <c:marker>
            <c:symbol val="circle"/>
            <c:size val="6"/>
            <c:spPr>
              <a:solidFill>
                <a:schemeClr val="tx1"/>
              </a:solidFill>
              <a:ln w="6350" cap="flat" cmpd="sng" algn="ctr">
                <a:solidFill>
                  <a:srgbClr val="0070C0"/>
                </a:solidFill>
                <a:prstDash val="solid"/>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trendline>
            <c:spPr>
              <a:ln w="12700" cap="rnd" cmpd="sng" algn="ctr">
                <a:solidFill>
                  <a:schemeClr val="accent2"/>
                </a:solidFill>
                <a:prstDash val="dash"/>
                <a:round/>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0.88</c:v>
                </c:pt>
                <c:pt idx="1">
                  <c:v>0.92</c:v>
                </c:pt>
                <c:pt idx="2">
                  <c:v>0.92</c:v>
                </c:pt>
              </c:numCache>
            </c:numRef>
          </c:val>
          <c:smooth val="0"/>
          <c:extLst>
            <c:ext xmlns:c16="http://schemas.microsoft.com/office/drawing/2014/chart" uri="{C3380CC4-5D6E-409C-BE32-E72D297353CC}">
              <c16:uniqueId val="{00000001-4500-9F48-B8C8-0BBA4BB898E9}"/>
            </c:ext>
          </c:extLst>
        </c:ser>
        <c:dLbls>
          <c:showLegendKey val="0"/>
          <c:showVal val="1"/>
          <c:showCatName val="0"/>
          <c:showSerName val="0"/>
          <c:showPercent val="0"/>
          <c:showBubbleSize val="0"/>
        </c:dLbls>
        <c:marker val="1"/>
        <c:smooth val="0"/>
        <c:axId val="74441088"/>
        <c:axId val="74442624"/>
      </c:lineChart>
      <c:catAx>
        <c:axId val="74441088"/>
        <c:scaling>
          <c:orientation val="minMax"/>
        </c:scaling>
        <c:delete val="0"/>
        <c:axPos val="b"/>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74442624"/>
        <c:crosses val="autoZero"/>
        <c:auto val="1"/>
        <c:lblAlgn val="ctr"/>
        <c:lblOffset val="100"/>
        <c:noMultiLvlLbl val="0"/>
      </c:catAx>
      <c:valAx>
        <c:axId val="74442624"/>
        <c:scaling>
          <c:orientation val="minMax"/>
        </c:scaling>
        <c:delete val="0"/>
        <c:axPos val="l"/>
        <c:majorGridlines>
          <c:spPr>
            <a:ln w="9525" cap="flat" cmpd="sng" algn="ctr">
              <a:solidFill>
                <a:schemeClr val="tx1">
                  <a:lumMod val="5000"/>
                  <a:lumOff val="9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74441088"/>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4a325269-b570-44e0-85ec-8ef8a14c35ac}"/>
      </c:ext>
    </c:extLst>
  </c:chart>
  <c:spPr>
    <a:solidFill>
      <a:schemeClr val="bg1"/>
    </a:solidFill>
    <a:ln w="9525" cap="flat" cmpd="sng" algn="ctr">
      <a:solidFill>
        <a:schemeClr val="bg1">
          <a:lumMod val="9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الصيانة</a:t>
            </a:r>
          </a:p>
        </c:rich>
      </c:tx>
      <c:layout>
        <c:manualLayout>
          <c:xMode val="edge"/>
          <c:yMode val="edge"/>
          <c:x val="0.33978602373002897"/>
          <c:y val="4.3219881145326801E-2"/>
        </c:manualLayout>
      </c:layout>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0.925926</c:v>
                </c:pt>
                <c:pt idx="1">
                  <c:v>0.888889</c:v>
                </c:pt>
                <c:pt idx="2">
                  <c:v>0.851852</c:v>
                </c:pt>
              </c:numCache>
            </c:numRef>
          </c:val>
          <c:smooth val="0"/>
          <c:extLst>
            <c:ext xmlns:c16="http://schemas.microsoft.com/office/drawing/2014/chart" uri="{C3380CC4-5D6E-409C-BE32-E72D297353CC}">
              <c16:uniqueId val="{00000001-3473-6942-813F-0A5B267B3F05}"/>
            </c:ext>
          </c:extLst>
        </c:ser>
        <c:dLbls>
          <c:showLegendKey val="0"/>
          <c:showVal val="1"/>
          <c:showCatName val="0"/>
          <c:showSerName val="0"/>
          <c:showPercent val="0"/>
          <c:showBubbleSize val="0"/>
        </c:dLbls>
        <c:marker val="1"/>
        <c:smooth val="0"/>
        <c:axId val="340709480"/>
        <c:axId val="340715360"/>
      </c:lineChart>
      <c:dateAx>
        <c:axId val="340709480"/>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5360"/>
        <c:crosses val="autoZero"/>
        <c:auto val="1"/>
        <c:lblOffset val="100"/>
        <c:baseTimeUnit val="months"/>
      </c:dateAx>
      <c:valAx>
        <c:axId val="34071536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09480"/>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252fc3d7-7573-4787-8f5f-82fe76176d0a}"/>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مكافحة القوارض و الحشرات </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7.9735038415417098E-2"/>
          <c:y val="0.212857914640735"/>
          <c:w val="0.897100969140322"/>
          <c:h val="0.68993351114741097"/>
        </c:manualLayout>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F2E9-2248-B2FC-04461333F728}"/>
            </c:ext>
          </c:extLst>
        </c:ser>
        <c:dLbls>
          <c:showLegendKey val="0"/>
          <c:showVal val="1"/>
          <c:showCatName val="0"/>
          <c:showSerName val="0"/>
          <c:showPercent val="0"/>
          <c:showBubbleSize val="0"/>
        </c:dLbls>
        <c:marker val="1"/>
        <c:smooth val="0"/>
        <c:axId val="359087312"/>
        <c:axId val="359088096"/>
      </c:lineChart>
      <c:dateAx>
        <c:axId val="359087312"/>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59088096"/>
        <c:crosses val="autoZero"/>
        <c:auto val="1"/>
        <c:lblOffset val="100"/>
        <c:baseTimeUnit val="months"/>
      </c:dateAx>
      <c:valAx>
        <c:axId val="35908809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59087312"/>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f4630614-d421-49a7-ad94-9a4ca2befe51}"/>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عقدصيانةوقائية و اصلاحية</a:t>
            </a:r>
          </a:p>
        </c:rich>
      </c:tx>
      <c:layout>
        <c:manualLayout>
          <c:xMode val="edge"/>
          <c:yMode val="edge"/>
          <c:x val="0.12916278675074899"/>
          <c:y val="0"/>
        </c:manualLayout>
      </c:layout>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6.7252401523375402E-2"/>
          <c:y val="0.21886382140785399"/>
          <c:w val="0.89917822775198997"/>
          <c:h val="0.62260755562145398"/>
        </c:manualLayout>
      </c:layout>
      <c:lineChart>
        <c:grouping val="standard"/>
        <c:varyColors val="0"/>
        <c:ser>
          <c:idx val="0"/>
          <c:order val="0"/>
          <c:tx>
            <c:strRef>
              <c:f>'Chart (13)'!$D$12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'Chart (13)'!$A$13:$A$19</c:f>
              <c:strCache>
                <c:ptCount val="7"/>
                <c:pt idx="0">
                  <c:v>يونيو 2022</c:v>
                </c:pt>
                <c:pt idx="1">
                  <c:v>سبتمبر 2022</c:v>
                </c:pt>
                <c:pt idx="2">
                  <c:v>ديسمبر 2022</c:v>
                </c:pt>
                <c:pt idx="3">
                  <c:v>مارس 2023</c:v>
                </c:pt>
                <c:pt idx="4">
                  <c:v>يونيو 2023</c:v>
                </c:pt>
                <c:pt idx="5">
                  <c:v>سبتمبر 2023</c:v>
                </c:pt>
                <c:pt idx="6">
                  <c:v>ديسمبر 2023</c:v>
                </c:pt>
              </c:strCache>
            </c:strRef>
          </c:cat>
          <c:val>
            <c:numRef>
              <c:f>'Chart (13)'!$D$13:$D$19</c:f>
              <c:numCache>
                <c:formatCode>0%</c:formatCode>
                <c:ptCount val="7"/>
                <c:pt idx="0">
                  <c:v>1</c:v>
                </c:pt>
                <c:pt idx="1">
                  <c:v>1</c:v>
                </c:pt>
                <c:pt idx="2">
                  <c:v>1</c:v>
                </c:pt>
                <c:pt idx="3">
                  <c:v>1</c:v>
                </c:pt>
                <c:pt idx="4">
                  <c:v>1</c:v>
                </c:pt>
                <c:pt idx="5">
                  <c:v>1</c:v>
                </c:pt>
              </c:numCache>
            </c:numRef>
          </c:val>
          <c:smooth val="0"/>
          <c:extLst>
            <c:ext xmlns:c16="http://schemas.microsoft.com/office/drawing/2014/chart" uri="{C3380CC4-5D6E-409C-BE32-E72D297353CC}">
              <c16:uniqueId val="{00000001-0F8B-624C-8CA7-35C2B6CDD497}"/>
            </c:ext>
          </c:extLst>
        </c:ser>
        <c:dLbls>
          <c:showLegendKey val="0"/>
          <c:showVal val="1"/>
          <c:showCatName val="0"/>
          <c:showSerName val="0"/>
          <c:showPercent val="0"/>
          <c:showBubbleSize val="0"/>
        </c:dLbls>
        <c:marker val="1"/>
        <c:smooth val="0"/>
        <c:axId val="340711440"/>
        <c:axId val="340711832"/>
      </c:lineChart>
      <c:catAx>
        <c:axId val="34071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1832"/>
        <c:crosses val="autoZero"/>
        <c:auto val="1"/>
        <c:lblAlgn val="ctr"/>
        <c:lblOffset val="100"/>
        <c:noMultiLvlLbl val="0"/>
      </c:catAx>
      <c:valAx>
        <c:axId val="340711832"/>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1440"/>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1ae2c1ea-2a2c-463d-bd3e-5d36905561ec}"/>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معالجة مياة وحدة الكلي  </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7.9735038415417098E-2"/>
          <c:y val="0.212857914640735"/>
          <c:w val="0.897100969140322"/>
          <c:h val="0.68993351114741097"/>
        </c:manualLayout>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BE6A-D344-B5B3-593A04BFC16F}"/>
            </c:ext>
          </c:extLst>
        </c:ser>
        <c:dLbls>
          <c:showLegendKey val="0"/>
          <c:showVal val="1"/>
          <c:showCatName val="0"/>
          <c:showSerName val="0"/>
          <c:showPercent val="0"/>
          <c:showBubbleSize val="0"/>
        </c:dLbls>
        <c:marker val="1"/>
        <c:smooth val="0"/>
        <c:axId val="359087312"/>
        <c:axId val="359088096"/>
      </c:lineChart>
      <c:catAx>
        <c:axId val="359087312"/>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59088096"/>
        <c:crosses val="autoZero"/>
        <c:auto val="1"/>
        <c:lblAlgn val="ctr"/>
        <c:lblOffset val="100"/>
        <c:noMultiLvlLbl val="1"/>
      </c:catAx>
      <c:valAx>
        <c:axId val="35908809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59087312"/>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b65546e4-d332-4b9f-a4c7-80afef1fe444}"/>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عقدصيانة طبية سيرفوميد</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6.7252401523375402E-2"/>
          <c:y val="0.21886382140785399"/>
          <c:w val="0.89917822775198997"/>
          <c:h val="0.62260755562145398"/>
        </c:manualLayout>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B736-4140-A996-C97637C23B68}"/>
            </c:ext>
          </c:extLst>
        </c:ser>
        <c:dLbls>
          <c:showLegendKey val="0"/>
          <c:showVal val="1"/>
          <c:showCatName val="0"/>
          <c:showSerName val="0"/>
          <c:showPercent val="0"/>
          <c:showBubbleSize val="0"/>
        </c:dLbls>
        <c:marker val="1"/>
        <c:smooth val="0"/>
        <c:axId val="342401968"/>
        <c:axId val="342405104"/>
      </c:lineChart>
      <c:catAx>
        <c:axId val="342401968"/>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2405104"/>
        <c:crosses val="autoZero"/>
        <c:auto val="1"/>
        <c:lblAlgn val="ctr"/>
        <c:lblOffset val="100"/>
        <c:noMultiLvlLbl val="1"/>
      </c:catAx>
      <c:valAx>
        <c:axId val="342405104"/>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2401968"/>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c463c77f-0bb0-4224-88c5-0d5c754ef689}"/>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sz="1400" baseline="0">
                <a:solidFill>
                  <a:schemeClr val="tx1"/>
                </a:solidFill>
                <a:latin typeface="Adobe Naskh Medium" panose="01010101010101010101" pitchFamily="50" charset="-78"/>
                <a:cs typeface="Adobe Naskh Medium" panose="01010101010101010101" pitchFamily="50" charset="-78"/>
              </a:rPr>
              <a:t>مراقبة وتقييم عقد صيانة اشعه عاديه </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6.7252401523375402E-2"/>
          <c:y val="0.21886382140785399"/>
          <c:w val="0.89917822775198997"/>
          <c:h val="0.62260755562145398"/>
        </c:manualLayout>
      </c:layout>
      <c:lineChart>
        <c:grouping val="standard"/>
        <c:varyColors val="0"/>
        <c:ser>
          <c:idx val="0"/>
          <c:order val="0"/>
          <c:tx>
            <c:strRef>
              <c:f>'   Chart'!$D$12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Chart'!$A$13:$A$15</c:f>
              <c:strCache>
                <c:ptCount val="3"/>
                <c:pt idx="0">
                  <c:v>3/2026</c:v>
                </c:pt>
                <c:pt idx="1">
                  <c:v>6/2026</c:v>
                </c:pt>
                <c:pt idx="2">
                  <c:v>9/2026</c:v>
                </c:pt>
              </c:strCache>
            </c:strRef>
          </c:cat>
          <c:val>
            <c:numRef>
              <c:f>'   Chart'!$D$13:$D$15</c:f>
              <c:numCache>
                <c:formatCode>0%</c:formatCode>
                <c:ptCount val="3"/>
                <c:pt idx="0">
                  <c:v>1.0</c:v>
                </c:pt>
                <c:pt idx="1">
                  <c:v>1.0</c:v>
                </c:pt>
                <c:pt idx="2">
                  <c:v>1.0</c:v>
                </c:pt>
              </c:numCache>
            </c:numRef>
          </c:val>
          <c:smooth val="0"/>
          <c:extLst>
            <c:ext xmlns:c16="http://schemas.microsoft.com/office/drawing/2014/chart" uri="{C3380CC4-5D6E-409C-BE32-E72D297353CC}">
              <c16:uniqueId val="{00000001-7FFD-DC48-84B9-1A1D870E28CD}"/>
            </c:ext>
          </c:extLst>
        </c:ser>
        <c:dLbls>
          <c:showLegendKey val="0"/>
          <c:showVal val="1"/>
          <c:showCatName val="0"/>
          <c:showSerName val="0"/>
          <c:showPercent val="0"/>
          <c:showBubbleSize val="0"/>
        </c:dLbls>
        <c:marker val="1"/>
        <c:smooth val="0"/>
        <c:axId val="342406672"/>
        <c:axId val="342408240"/>
      </c:lineChart>
      <c:dateAx>
        <c:axId val="342406672"/>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2408240"/>
        <c:crosses val="autoZero"/>
        <c:auto val="1"/>
        <c:lblOffset val="100"/>
        <c:baseTimeUnit val="months"/>
      </c:dateAx>
      <c:valAx>
        <c:axId val="34240824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2406672"/>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65ae450a-f9a2-4628-9e39-b51cf6d4b8dc}"/>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sz="1400" baseline="0">
                <a:solidFill>
                  <a:schemeClr val="tx1"/>
                </a:solidFill>
                <a:latin typeface="Adobe Naskh Medium" panose="01010101010101010101" pitchFamily="50" charset="-78"/>
                <a:cs typeface="Adobe Naskh Medium" panose="01010101010101010101" pitchFamily="50" charset="-78"/>
              </a:rPr>
              <a:t>مراقبة وتقييم عقد صيانة جهاز  جهاز الاشعة المقطعية</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6.7252401523375402E-2"/>
          <c:y val="0.21886382140785399"/>
          <c:w val="0.89917822775198997"/>
          <c:h val="0.62260755562145398"/>
        </c:manualLayout>
      </c:layout>
      <c:lineChart>
        <c:grouping val="standard"/>
        <c:varyColors val="0"/>
        <c:ser>
          <c:idx val="0"/>
          <c:order val="0"/>
          <c:tx>
            <c:strRef>
              <c:f>'  Chart'!$D$12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Chart'!$A$13:$A$15</c:f>
              <c:strCache>
                <c:ptCount val="3"/>
                <c:pt idx="0">
                  <c:v>3/2026</c:v>
                </c:pt>
                <c:pt idx="1">
                  <c:v>6/2026</c:v>
                </c:pt>
                <c:pt idx="2">
                  <c:v>9/2026</c:v>
                </c:pt>
              </c:strCache>
            </c:strRef>
          </c:cat>
          <c:val>
            <c:numRef>
              <c:f>'  Chart'!$D$13:$D$15</c:f>
              <c:numCache>
                <c:formatCode>0%</c:formatCode>
                <c:ptCount val="3"/>
                <c:pt idx="0">
                  <c:v>1.0</c:v>
                </c:pt>
                <c:pt idx="1">
                  <c:v>1.0</c:v>
                </c:pt>
                <c:pt idx="2">
                  <c:v>1.0</c:v>
                </c:pt>
              </c:numCache>
            </c:numRef>
          </c:val>
          <c:smooth val="0"/>
          <c:extLst>
            <c:ext xmlns:c16="http://schemas.microsoft.com/office/drawing/2014/chart" uri="{C3380CC4-5D6E-409C-BE32-E72D297353CC}">
              <c16:uniqueId val="{00000001-8A25-3041-8099-820A68C90BB0}"/>
            </c:ext>
          </c:extLst>
        </c:ser>
        <c:dLbls>
          <c:showLegendKey val="0"/>
          <c:showVal val="1"/>
          <c:showCatName val="0"/>
          <c:showSerName val="0"/>
          <c:showPercent val="0"/>
          <c:showBubbleSize val="0"/>
        </c:dLbls>
        <c:marker val="1"/>
        <c:smooth val="0"/>
        <c:axId val="342406672"/>
        <c:axId val="342408240"/>
      </c:lineChart>
      <c:dateAx>
        <c:axId val="342406672"/>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2408240"/>
        <c:crosses val="autoZero"/>
        <c:auto val="1"/>
        <c:lblOffset val="100"/>
        <c:baseTimeUnit val="months"/>
      </c:dateAx>
      <c:valAx>
        <c:axId val="34240824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2406672"/>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bc87ccb4-9dac-429f-b186-366678a763a9}"/>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sz="1400" baseline="0">
                <a:solidFill>
                  <a:schemeClr val="tx1"/>
                </a:solidFill>
                <a:latin typeface="Adobe Naskh Medium" panose="01010101010101010101" pitchFamily="50" charset="-78"/>
                <a:cs typeface="Adobe Naskh Medium" panose="01010101010101010101" pitchFamily="50" charset="-78"/>
              </a:rPr>
              <a:t>مراقبة وتقييم عقد صيانة أجهزة الكلي الصناعي</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6.7252401523375402E-2"/>
          <c:y val="0.21886382140785399"/>
          <c:w val="0.89917822775198997"/>
          <c:h val="0.62260755562145398"/>
        </c:manualLayout>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F511-9449-877F-93E9181DD701}"/>
            </c:ext>
          </c:extLst>
        </c:ser>
        <c:dLbls>
          <c:showLegendKey val="0"/>
          <c:showVal val="1"/>
          <c:showCatName val="0"/>
          <c:showSerName val="0"/>
          <c:showPercent val="0"/>
          <c:showBubbleSize val="0"/>
        </c:dLbls>
        <c:marker val="1"/>
        <c:smooth val="0"/>
        <c:axId val="342406672"/>
        <c:axId val="342408240"/>
      </c:lineChart>
      <c:dateAx>
        <c:axId val="342406672"/>
        <c:scaling>
          <c:orientation val="minMax"/>
        </c:scaling>
        <c:delete val="0"/>
        <c:axPos val="b"/>
        <c:numFmt formatCode="mmm\-yy"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2408240"/>
        <c:crosses val="autoZero"/>
        <c:auto val="1"/>
        <c:lblOffset val="100"/>
        <c:baseTimeUnit val="months"/>
      </c:dateAx>
      <c:valAx>
        <c:axId val="34240824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2406672"/>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6f5f11c7-6553-43fe-9fc9-611466ab3716}"/>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a:t>
            </a:r>
            <a:r>
              <a:rPr lang="ar-AE" baseline="0">
                <a:solidFill>
                  <a:schemeClr val="tx1"/>
                </a:solidFill>
                <a:latin typeface="Adobe Naskh Medium" panose="01010101010101010101" pitchFamily="50" charset="-78"/>
                <a:cs typeface="Adobe Naskh Medium" panose="01010101010101010101" pitchFamily="50" charset="-78"/>
              </a:rPr>
              <a:t> </a:t>
            </a:r>
            <a:r>
              <a:rPr lang="ar-EG" baseline="0">
                <a:solidFill>
                  <a:schemeClr val="tx1"/>
                </a:solidFill>
                <a:latin typeface="Adobe Naskh Medium" panose="01010101010101010101" pitchFamily="50" charset="-78"/>
                <a:cs typeface="Adobe Naskh Medium" panose="01010101010101010101" pitchFamily="50" charset="-78"/>
              </a:rPr>
              <a:t>صيانة</a:t>
            </a:r>
            <a:r>
              <a:rPr lang="ar-AE" baseline="0">
                <a:solidFill>
                  <a:schemeClr val="tx1"/>
                </a:solidFill>
                <a:latin typeface="Adobe Naskh Medium" panose="01010101010101010101" pitchFamily="50" charset="-78"/>
                <a:cs typeface="Adobe Naskh Medium" panose="01010101010101010101" pitchFamily="50" charset="-78"/>
              </a:rPr>
              <a:t> </a:t>
            </a:r>
            <a:r>
              <a:rPr lang="ar-EG" baseline="0">
                <a:solidFill>
                  <a:schemeClr val="tx1"/>
                </a:solidFill>
                <a:latin typeface="Adobe Naskh Medium" panose="01010101010101010101" pitchFamily="50" charset="-78"/>
                <a:cs typeface="Adobe Naskh Medium" panose="01010101010101010101" pitchFamily="50" charset="-78"/>
              </a:rPr>
              <a:t>اجهزة الاشعة المتنقلة</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'Chart '!$A$13:$A$15</c:f>
              <c:strCache>
                <c:ptCount val="3"/>
                <c:pt idx="0">
                  <c:v>3/2026</c:v>
                </c:pt>
                <c:pt idx="1">
                  <c:v>6/2026</c:v>
                </c:pt>
                <c:pt idx="2">
                  <c:v>9/2026</c:v>
                </c:pt>
              </c:strCache>
            </c:strRef>
          </c:cat>
          <c:val>
            <c:numRef>
              <c:f>'Chart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49C6-5B45-A260-C4452FE8BB54}"/>
            </c:ext>
          </c:extLst>
        </c:ser>
        <c:dLbls>
          <c:showLegendKey val="0"/>
          <c:showVal val="1"/>
          <c:showCatName val="0"/>
          <c:showSerName val="0"/>
          <c:showPercent val="0"/>
          <c:showBubbleSize val="0"/>
        </c:dLbls>
        <c:marker val="1"/>
        <c:smooth val="0"/>
        <c:axId val="340716144"/>
        <c:axId val="340710656"/>
      </c:lineChart>
      <c:catAx>
        <c:axId val="340716144"/>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0656"/>
        <c:crosses val="autoZero"/>
        <c:auto val="1"/>
        <c:lblAlgn val="ctr"/>
        <c:lblOffset val="100"/>
        <c:noMultiLvlLbl val="1"/>
      </c:catAx>
      <c:valAx>
        <c:axId val="34071065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614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e95bcc51-c760-4945-be9d-1d09adaf1874}"/>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صيانة اجهزة التنفس الصناعي</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'Chart  '!$A$13:$A$15</c:f>
              <c:strCache>
                <c:ptCount val="3"/>
                <c:pt idx="0">
                  <c:v>3/2026</c:v>
                </c:pt>
                <c:pt idx="1">
                  <c:v>6/2026</c:v>
                </c:pt>
                <c:pt idx="2">
                  <c:v>9/2026</c:v>
                </c:pt>
              </c:strCache>
            </c:strRef>
          </c:cat>
          <c:val>
            <c:numRef>
              <c:f>'Chart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576A-784F-95A1-083E62EB54F0}"/>
            </c:ext>
          </c:extLst>
        </c:ser>
        <c:dLbls>
          <c:showLegendKey val="0"/>
          <c:showVal val="1"/>
          <c:showCatName val="0"/>
          <c:showSerName val="0"/>
          <c:showPercent val="0"/>
          <c:showBubbleSize val="0"/>
        </c:dLbls>
        <c:marker val="1"/>
        <c:smooth val="0"/>
        <c:axId val="340716144"/>
        <c:axId val="340710656"/>
      </c:lineChart>
      <c:catAx>
        <c:axId val="340716144"/>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0656"/>
        <c:crosses val="autoZero"/>
        <c:auto val="1"/>
        <c:lblAlgn val="ctr"/>
        <c:lblOffset val="100"/>
        <c:noMultiLvlLbl val="1"/>
      </c:catAx>
      <c:valAx>
        <c:axId val="34071065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614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6ce3b323-ae6a-46f7-b53b-fcf6caf332d2}"/>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صيانة جهاز اشعة الماموجرام</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9DCE-A446-8EDB-2A3E90A8E87A}"/>
            </c:ext>
          </c:extLst>
        </c:ser>
        <c:dLbls>
          <c:showLegendKey val="0"/>
          <c:showVal val="1"/>
          <c:showCatName val="0"/>
          <c:showSerName val="0"/>
          <c:showPercent val="0"/>
          <c:showBubbleSize val="0"/>
        </c:dLbls>
        <c:marker val="1"/>
        <c:smooth val="0"/>
        <c:axId val="340716144"/>
        <c:axId val="340710656"/>
      </c:lineChart>
      <c:catAx>
        <c:axId val="340716144"/>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0656"/>
        <c:crosses val="autoZero"/>
        <c:auto val="1"/>
        <c:lblAlgn val="ctr"/>
        <c:lblOffset val="100"/>
        <c:noMultiLvlLbl val="1"/>
      </c:catAx>
      <c:valAx>
        <c:axId val="34071065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614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02b073bf-64f8-4b68-a7b6-fad5b0f62afc}"/>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a:t>
            </a:r>
            <a:r>
              <a:rPr lang="ar-AE" baseline="0">
                <a:solidFill>
                  <a:schemeClr val="tx1"/>
                </a:solidFill>
                <a:latin typeface="Adobe Naskh Medium" panose="01010101010101010101" pitchFamily="50" charset="-78"/>
                <a:cs typeface="Adobe Naskh Medium" panose="01010101010101010101" pitchFamily="50" charset="-78"/>
              </a:rPr>
              <a:t> </a:t>
            </a:r>
            <a:r>
              <a:rPr lang="ar-EG" baseline="0">
                <a:solidFill>
                  <a:schemeClr val="tx1"/>
                </a:solidFill>
                <a:latin typeface="Adobe Naskh Medium" panose="01010101010101010101" pitchFamily="50" charset="-78"/>
                <a:cs typeface="Adobe Naskh Medium" panose="01010101010101010101" pitchFamily="50" charset="-78"/>
              </a:rPr>
              <a:t>صيانة</a:t>
            </a:r>
            <a:r>
              <a:rPr lang="ar-AE" baseline="0">
                <a:solidFill>
                  <a:schemeClr val="tx1"/>
                </a:solidFill>
                <a:latin typeface="Adobe Naskh Medium" panose="01010101010101010101" pitchFamily="50" charset="-78"/>
                <a:cs typeface="Adobe Naskh Medium" panose="01010101010101010101" pitchFamily="50" charset="-78"/>
              </a:rPr>
              <a:t> </a:t>
            </a:r>
            <a:r>
              <a:rPr lang="ar-EG" baseline="0">
                <a:solidFill>
                  <a:schemeClr val="tx1"/>
                </a:solidFill>
                <a:latin typeface="Adobe Naskh Medium" panose="01010101010101010101" pitchFamily="50" charset="-78"/>
                <a:cs typeface="Adobe Naskh Medium" panose="01010101010101010101" pitchFamily="50" charset="-78"/>
              </a:rPr>
              <a:t>اجهزة </a:t>
            </a:r>
            <a:r>
              <a:rPr lang="ar-AE" baseline="0">
                <a:solidFill>
                  <a:schemeClr val="tx1"/>
                </a:solidFill>
                <a:latin typeface="Adobe Naskh Medium" panose="01010101010101010101" pitchFamily="50" charset="-78"/>
                <a:cs typeface="Adobe Naskh Medium" panose="01010101010101010101" pitchFamily="50" charset="-78"/>
              </a:rPr>
              <a:t>التعقيم</a:t>
            </a:r>
            <a:endParaRPr lang="ar-EG" baseline="0">
              <a:solidFill>
                <a:schemeClr val="tx1"/>
              </a:solidFill>
              <a:latin typeface="Adobe Naskh Medium" panose="01010101010101010101" pitchFamily="50" charset="-78"/>
              <a:cs typeface="Adobe Naskh Medium" panose="01010101010101010101" pitchFamily="50" charset="-78"/>
            </a:endParaRP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ar-EG"/>
        </a:p>
      </c:txPr>
    </c:title>
    <c:autoTitleDeleted val="0"/>
    <c:plotArea>
      <c:layout/>
      <c:lineChart>
        <c:grouping val="standard"/>
        <c:varyColors val="0"/>
        <c:ser>
          <c:idx val="0"/>
          <c:order val="0"/>
          <c:tx>
            <c:strRef>
              <c:f>'Chart'!$D$12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'Chart'!$A$13:$A$15</c:f>
              <c:strCache>
                <c:ptCount val="3"/>
                <c:pt idx="0">
                  <c:v>3/2026</c:v>
                </c:pt>
                <c:pt idx="1">
                  <c:v>6/2026</c:v>
                </c:pt>
                <c:pt idx="2">
                  <c:v>9/2026</c:v>
                </c:pt>
              </c:strCache>
            </c:strRef>
          </c:cat>
          <c:val>
            <c:numRef>
              <c:f>'Chart'!$D$13:$D$15</c:f>
              <c:numCache>
                <c:formatCode>0%</c:formatCode>
                <c:ptCount val="3"/>
                <c:pt idx="0">
                  <c:v>1.0</c:v>
                </c:pt>
                <c:pt idx="1">
                  <c:v>0.8</c:v>
                </c:pt>
                <c:pt idx="2">
                  <c:v>1.0</c:v>
                </c:pt>
              </c:numCache>
            </c:numRef>
          </c:val>
          <c:smooth val="0"/>
          <c:extLst>
            <c:ext xmlns:c16="http://schemas.microsoft.com/office/drawing/2014/chart" uri="{C3380CC4-5D6E-409C-BE32-E72D297353CC}">
              <c16:uniqueId val="{00000001-2AD5-F04F-B889-D14BD77CC1DA}"/>
            </c:ext>
          </c:extLst>
        </c:ser>
        <c:dLbls>
          <c:showLegendKey val="0"/>
          <c:showVal val="1"/>
          <c:showCatName val="0"/>
          <c:showSerName val="0"/>
          <c:showPercent val="0"/>
          <c:showBubbleSize val="0"/>
        </c:dLbls>
        <c:marker val="1"/>
        <c:smooth val="0"/>
        <c:axId val="340716144"/>
        <c:axId val="340710656"/>
      </c:lineChart>
      <c:catAx>
        <c:axId val="340716144"/>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0656"/>
        <c:crosses val="autoZero"/>
        <c:auto val="1"/>
        <c:lblAlgn val="ctr"/>
        <c:lblOffset val="100"/>
        <c:noMultiLvlLbl val="1"/>
      </c:catAx>
      <c:valAx>
        <c:axId val="34071065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614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3255cf9b-5878-443a-a275-f218221af5ce}"/>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صيانة اجهزة التخدير و المونيتور</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Chart'!$A$13:$A$15</c:f>
              <c:strCache>
                <c:ptCount val="3"/>
                <c:pt idx="0">
                  <c:v>3/2026</c:v>
                </c:pt>
                <c:pt idx="1">
                  <c:v>6/2026</c:v>
                </c:pt>
                <c:pt idx="2">
                  <c:v>9/2026</c:v>
                </c:pt>
              </c:strCache>
            </c:strRef>
          </c:cat>
          <c:val>
            <c:numRef>
              <c:f>' Chart'!$D$13:$D$15</c:f>
              <c:numCache>
                <c:formatCode>0%</c:formatCode>
                <c:ptCount val="3"/>
                <c:pt idx="0">
                  <c:v>1.0</c:v>
                </c:pt>
                <c:pt idx="1">
                  <c:v>1.0</c:v>
                </c:pt>
                <c:pt idx="2">
                  <c:v>1.0</c:v>
                </c:pt>
              </c:numCache>
            </c:numRef>
          </c:val>
          <c:smooth val="0"/>
          <c:extLst>
            <c:ext xmlns:c16="http://schemas.microsoft.com/office/drawing/2014/chart" uri="{C3380CC4-5D6E-409C-BE32-E72D297353CC}">
              <c16:uniqueId val="{00000001-F2C2-3B46-9F4A-1DE18C98E29E}"/>
            </c:ext>
          </c:extLst>
        </c:ser>
        <c:dLbls>
          <c:showLegendKey val="0"/>
          <c:showVal val="1"/>
          <c:showCatName val="0"/>
          <c:showSerName val="0"/>
          <c:showPercent val="0"/>
          <c:showBubbleSize val="0"/>
        </c:dLbls>
        <c:marker val="1"/>
        <c:smooth val="0"/>
        <c:axId val="340716144"/>
        <c:axId val="340710656"/>
      </c:lineChart>
      <c:catAx>
        <c:axId val="340716144"/>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0656"/>
        <c:crosses val="autoZero"/>
        <c:auto val="1"/>
        <c:lblAlgn val="ctr"/>
        <c:lblOffset val="100"/>
        <c:noMultiLvlLbl val="1"/>
      </c:catAx>
      <c:valAx>
        <c:axId val="34071065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614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7f982890-2401-47f9-aad8-fdf253f27bf7}"/>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 صيانة اجهزة حضانات</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lineChart>
        <c:grouping val="standard"/>
        <c:varyColors val="0"/>
        <c:ser>
          <c:idx val="0"/>
          <c:order val="0"/>
          <c:tx>
            <c:strRef>
              <c:f>'  Chart  '!$D$12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  Chart  '!$A$13:$A$15</c:f>
              <c:strCache>
                <c:ptCount val="3"/>
                <c:pt idx="0">
                  <c:v>3/2026</c:v>
                </c:pt>
                <c:pt idx="1">
                  <c:v>6/2026</c:v>
                </c:pt>
                <c:pt idx="2">
                  <c:v>9/2026</c:v>
                </c:pt>
              </c:strCache>
            </c:strRef>
          </c:cat>
          <c:val>
            <c:numRef>
              <c:f>'  Chart  '!$D$13:$D$15</c:f>
              <c:numCache>
                <c:formatCode>0%</c:formatCode>
                <c:ptCount val="3"/>
                <c:pt idx="0">
                  <c:v>1.0</c:v>
                </c:pt>
                <c:pt idx="1">
                  <c:v>1.0</c:v>
                </c:pt>
                <c:pt idx="2">
                  <c:v>1.0</c:v>
                </c:pt>
              </c:numCache>
            </c:numRef>
          </c:val>
          <c:smooth val="0"/>
          <c:extLst>
            <c:ext xmlns:c16="http://schemas.microsoft.com/office/drawing/2014/chart" uri="{C3380CC4-5D6E-409C-BE32-E72D297353CC}">
              <c16:uniqueId val="{00000001-F950-E448-8ED6-29DC21847864}"/>
            </c:ext>
          </c:extLst>
        </c:ser>
        <c:dLbls>
          <c:showLegendKey val="0"/>
          <c:showVal val="1"/>
          <c:showCatName val="0"/>
          <c:showSerName val="0"/>
          <c:showPercent val="0"/>
          <c:showBubbleSize val="0"/>
        </c:dLbls>
        <c:marker val="1"/>
        <c:smooth val="0"/>
        <c:axId val="340716144"/>
        <c:axId val="340710656"/>
      </c:lineChart>
      <c:catAx>
        <c:axId val="340716144"/>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0710656"/>
        <c:crosses val="autoZero"/>
        <c:auto val="1"/>
        <c:lblAlgn val="ctr"/>
        <c:lblOffset val="100"/>
        <c:noMultiLvlLbl val="1"/>
      </c:catAx>
      <c:valAx>
        <c:axId val="34071065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071614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352f8226-bef2-436b-a2bb-b786f6977dce}"/>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'اجمالي نسب العقود '!$X$12:$X$13</c:f>
              <c:strCache>
                <c:ptCount val="2"/>
                <c:pt idx="0">
                  <c:v>اجمال البنود</c:v>
                </c:pt>
              </c:strCache>
            </c:strRef>
          </c:tx>
          <c:spPr>
            <a:solidFill>
              <a:schemeClr val="accent1"/>
            </a:solidFill>
            <a:ln>
              <a:noFill/>
            </a:ln>
            <a:effectLst/>
          </c:spPr>
          <c:invertIfNegative val="0"/>
          <c:cat>
            <c:strRef>
              <c:f>'اجمالي نسب العقود '!$W$17:$W$19</c:f>
              <c:strCache>
                <c:ptCount val="3"/>
                <c:pt idx="0">
                  <c:v>مارس2026</c:v>
                </c:pt>
                <c:pt idx="1">
                  <c:v>يونيو2026</c:v>
                </c:pt>
                <c:pt idx="2">
                  <c:v>سبتمبر2026</c:v>
                </c:pt>
              </c:strCache>
            </c:strRef>
          </c:cat>
          <c:val>
            <c:numRef>
              <c:f>'اجمالي نسب العقود '!$X$17:$X$19</c:f>
              <c:numCache>
                <c:formatCode>0%</c:formatCode>
                <c:ptCount val="3"/>
                <c:pt idx="0">
                  <c:v>0.97971</c:v>
                </c:pt>
                <c:pt idx="1">
                  <c:v>0.971445</c:v>
                </c:pt>
                <c:pt idx="2">
                  <c:v>0.980022</c:v>
                </c:pt>
              </c:numCache>
            </c:numRef>
          </c:val>
          <c:extLst>
            <c:ext xmlns:c16="http://schemas.microsoft.com/office/drawing/2014/chart" uri="{C3380CC4-5D6E-409C-BE32-E72D297353CC}">
              <c16:uniqueId val="{00000000-AAFE-4A4D-84A8-1E755697919F}"/>
            </c:ext>
          </c:extLst>
        </c:ser>
        <c:dLbls>
          <c:showLegendKey val="0"/>
          <c:showVal val="0"/>
          <c:showCatName val="0"/>
          <c:showSerName val="0"/>
          <c:showPercent val="0"/>
          <c:showBubbleSize val="0"/>
        </c:dLbls>
        <c:gapWidth val="219"/>
        <c:overlap val="-27"/>
        <c:axId val="2040998927"/>
        <c:axId val="2041001327"/>
      </c:barChart>
      <c:catAx>
        <c:axId val="204099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41001327"/>
        <c:crosses val="autoZero"/>
        <c:auto val="1"/>
        <c:lblAlgn val="ctr"/>
        <c:lblOffset val="100"/>
        <c:noMultiLvlLbl val="0"/>
      </c:catAx>
      <c:valAx>
        <c:axId val="204100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40998927"/>
        <c:crosses val="autoZero"/>
        <c:crossBetween val="between"/>
      </c:valAx>
      <c:spPr>
        <a:noFill/>
        <a:ln>
          <a:noFill/>
        </a:ln>
        <a:effectLst/>
      </c:spPr>
    </c:plotArea>
    <c:plotVisOnly val="1"/>
    <c:dispBlanksAs val="gap"/>
    <c:showDLblsOverMax val="0"/>
    <c:extLst>
      <c:ext uri="{0b15fc19-7d7d-44ad-8c2d-2c3a37ce22c3}">
        <chartProps xmlns="https://web.wps.cn/et/2018/main" chartId="{57860212-3326-47d8-808d-dd793eb8552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r>
              <a:rPr lang="ar-EG" baseline="0">
                <a:solidFill>
                  <a:schemeClr val="tx1"/>
                </a:solidFill>
                <a:latin typeface="Adobe Naskh Medium" panose="01010101010101010101" pitchFamily="50" charset="-78"/>
                <a:cs typeface="Adobe Naskh Medium" panose="01010101010101010101" pitchFamily="50" charset="-78"/>
              </a:rPr>
              <a:t>مراقبة وتقييم عقدصيانة جي أي</a:t>
            </a:r>
          </a:p>
        </c:rich>
      </c:tx>
      <c:overlay val="0"/>
      <c:spPr>
        <a:noFill/>
        <a:ln>
          <a:noFill/>
        </a:ln>
        <a:effectLst/>
      </c:spPr>
      <c:txPr>
        <a:bodyPr rot="0" spcFirstLastPara="1" vertOverflow="ellipsis" vert="horz" wrap="square" anchor="ctr" anchorCtr="1"/>
        <a:lstStyle/>
        <a:p>
          <a:pPr>
            <a:defRPr lang="en-US" sz="1600" b="0" i="0" u="none" strike="noStrike" kern="1200" cap="none" spc="50" baseline="0">
              <a:solidFill>
                <a:schemeClr val="tx1"/>
              </a:solidFill>
              <a:latin typeface="Adobe Naskh Medium" panose="01010101010101010101" pitchFamily="50" charset="-78"/>
              <a:ea typeface="+mn-ea"/>
              <a:cs typeface="Adobe Naskh Medium" panose="01010101010101010101" pitchFamily="50" charset="-78"/>
            </a:defRPr>
          </a:pPr>
          <a:endParaRPr lang="en-US"/>
        </a:p>
      </c:txPr>
    </c:title>
    <c:autoTitleDeleted val="0"/>
    <c:plotArea>
      <c:layout>
        <c:manualLayout>
          <c:layoutTarget val="inner"/>
          <c:xMode val="edge"/>
          <c:yMode val="edge"/>
          <c:x val="6.7252401523375402E-2"/>
          <c:y val="0.21886382140785399"/>
          <c:w val="0.89917822775198997"/>
          <c:h val="0.62260755562145398"/>
        </c:manualLayout>
      </c:layout>
      <c:lineChart>
        <c:grouping val="standard"/>
        <c:varyColors val="0"/>
        <c:ser>
          <c:idx val="0"/>
          <c:order val="0"/>
          <c:tx>
            <c:strRef>
              <c:f>'Chart (17)'!$D$12</c:f>
              <c:strCache>
                <c:ptCount val="1"/>
                <c:pt idx="0">
                  <c:v>النسبة</c:v>
                </c:pt>
              </c:strCache>
            </c:strRef>
          </c:tx>
          <c:spPr>
            <a:ln w="28575" cap="rnd">
              <a:solidFill>
                <a:srgbClr val="0070C0"/>
              </a:solidFill>
              <a:round/>
            </a:ln>
            <a:effectLst/>
          </c:spPr>
          <c:marker>
            <c:symbol val="circle"/>
            <c:size val="6"/>
            <c:spPr>
              <a:solidFill>
                <a:schemeClr val="tx1"/>
              </a:solidFill>
              <a:ln>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solidFill>
                  <a:schemeClr val="accent2"/>
                </a:solidFill>
                <a:prstDash val="dash"/>
              </a:ln>
              <a:effectLst/>
            </c:spPr>
            <c:trendlineType val="linear"/>
            <c:dispRSqr val="0"/>
            <c:dispEq val="0"/>
          </c:trendline>
          <c:cat>
            <c:strRef>
              <c:f>'Chart (17)'!$A$13:$A$19</c:f>
              <c:strCache>
                <c:ptCount val="7"/>
                <c:pt idx="0">
                  <c:v>يونيو 2022</c:v>
                </c:pt>
                <c:pt idx="1">
                  <c:v>سبتمبر 2022</c:v>
                </c:pt>
                <c:pt idx="2">
                  <c:v>ديسمبر 2022</c:v>
                </c:pt>
                <c:pt idx="3">
                  <c:v>مارس 2023</c:v>
                </c:pt>
                <c:pt idx="4">
                  <c:v>يونيو 2023</c:v>
                </c:pt>
                <c:pt idx="5">
                  <c:v>سبتمبر 2023</c:v>
                </c:pt>
                <c:pt idx="6">
                  <c:v>ديسمبر 2023</c:v>
                </c:pt>
              </c:strCache>
            </c:strRef>
          </c:cat>
          <c:val>
            <c:numRef>
              <c:f>'Chart (17)'!$D$13:$D$19</c:f>
              <c:numCache>
                <c:formatCode>0%</c:formatCode>
                <c:ptCount val="7"/>
                <c:pt idx="0">
                  <c:v>1</c:v>
                </c:pt>
                <c:pt idx="1">
                  <c:v>1</c:v>
                </c:pt>
                <c:pt idx="2">
                  <c:v>1</c:v>
                </c:pt>
                <c:pt idx="3">
                  <c:v>1</c:v>
                </c:pt>
                <c:pt idx="4">
                  <c:v>1</c:v>
                </c:pt>
                <c:pt idx="5">
                  <c:v>1</c:v>
                </c:pt>
              </c:numCache>
            </c:numRef>
          </c:val>
          <c:smooth val="0"/>
          <c:extLst>
            <c:ext xmlns:c16="http://schemas.microsoft.com/office/drawing/2014/chart" uri="{C3380CC4-5D6E-409C-BE32-E72D297353CC}">
              <c16:uniqueId val="{00000001-ABA9-AB41-834A-0D1D8E1C3389}"/>
            </c:ext>
          </c:extLst>
        </c:ser>
        <c:dLbls>
          <c:showLegendKey val="0"/>
          <c:showVal val="1"/>
          <c:showCatName val="0"/>
          <c:showSerName val="0"/>
          <c:showPercent val="0"/>
          <c:showBubbleSize val="0"/>
        </c:dLbls>
        <c:marker val="1"/>
        <c:smooth val="0"/>
        <c:axId val="342409024"/>
        <c:axId val="342407456"/>
      </c:lineChart>
      <c:catAx>
        <c:axId val="342409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0" u="none" strike="noStrike" kern="1200" baseline="0">
                <a:solidFill>
                  <a:schemeClr val="tx1">
                    <a:lumMod val="50000"/>
                    <a:lumOff val="50000"/>
                  </a:schemeClr>
                </a:solidFill>
                <a:latin typeface="+mn-lt"/>
                <a:ea typeface="+mn-ea"/>
                <a:cs typeface="+mn-cs"/>
              </a:defRPr>
            </a:pPr>
            <a:endParaRPr lang="en-US"/>
          </a:p>
        </c:txPr>
        <c:crossAx val="342407456"/>
        <c:crosses val="autoZero"/>
        <c:auto val="1"/>
        <c:lblAlgn val="ctr"/>
        <c:lblOffset val="100"/>
        <c:noMultiLvlLbl val="0"/>
      </c:catAx>
      <c:valAx>
        <c:axId val="34240745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2409024"/>
        <c:crosses val="autoZero"/>
        <c:crossBetween val="between"/>
      </c:valAx>
      <c:spPr>
        <a:pattFill prst="ltDnDiag">
          <a:fgClr>
            <a:schemeClr val="bg1">
              <a:lumMod val="95000"/>
            </a:schemeClr>
          </a:fgClr>
          <a:bgClr>
            <a:schemeClr val="bg1"/>
          </a:bgClr>
        </a:pattFill>
        <a:ln>
          <a:solidFill>
            <a:schemeClr val="bg1">
              <a:lumMod val="95000"/>
            </a:schemeClr>
          </a:solidFill>
        </a:ln>
        <a:effectLst/>
      </c:spPr>
    </c:plotArea>
    <c:plotVisOnly val="1"/>
    <c:dispBlanksAs val="gap"/>
    <c:showDLblsOverMax val="0"/>
    <c:extLst>
      <c:ext uri="{0b15fc19-7d7d-44ad-8c2d-2c3a37ce22c3}">
        <chartProps xmlns="https://web.wps.cn/et/2018/main" chartId="{daf3b2a6-d230-4642-b10c-179aa83f1058}"/>
      </c:ext>
    </c:extLst>
  </c:chart>
  <c:spPr>
    <a:solidFill>
      <a:schemeClr val="bg1"/>
    </a:solidFill>
    <a:ln w="9525" cap="flat" cmpd="sng" algn="ctr">
      <a:solidFill>
        <a:schemeClr val="bg1">
          <a:lumMod val="9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ar-EG"/>
              <a:t>مراقبة وتقييم العقود (سنوي)</a:t>
            </a:r>
          </a:p>
        </c:rich>
      </c:tx>
      <c:overlay val="0"/>
    </c:title>
    <c:autoTitleDeleted val="0"/>
    <c:plotArea>
      <c:layout/>
      <c:barChart>
        <c:barDir val="col"/>
        <c:grouping val="clustered"/>
        <c:varyColors val="0"/>
        <c:ser>
          <c:idx val="0"/>
          <c:order val="0"/>
          <c:invertIfNegative val="0"/>
          <c:dPt>
            <c:idx val="8"/>
            <c:invertIfNegative val="0"/>
            <c:bubble3D val="0"/>
            <c:extLst>
              <c:ext xmlns:c16="http://schemas.microsoft.com/office/drawing/2014/chart" uri="{C3380CC4-5D6E-409C-BE32-E72D297353CC}">
                <c16:uniqueId val="{00000000-4496-449D-9F81-7D3CB7D1158D}"/>
              </c:ext>
            </c:extLst>
          </c:dPt>
          <c:dPt>
            <c:idx val="9"/>
            <c:invertIfNegative val="0"/>
            <c:bubble3D val="0"/>
            <c:extLst>
              <c:ext xmlns:c16="http://schemas.microsoft.com/office/drawing/2014/chart" uri="{C3380CC4-5D6E-409C-BE32-E72D297353CC}">
                <c16:uniqueId val="{00000001-4496-449D-9F81-7D3CB7D1158D}"/>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Total!$B$12:$B$28</c:f>
              <c:strCache>
                <c:ptCount val="17"/>
                <c:pt idx="0">
                  <c:v>النظافة</c:v>
                </c:pt>
                <c:pt idx="1">
                  <c:v>الأكسجين</c:v>
                </c:pt>
                <c:pt idx="2">
                  <c:v>الأمن والحراسة</c:v>
                </c:pt>
                <c:pt idx="3">
                  <c:v>التخلص الآمن من ناتج الفرم</c:v>
                </c:pt>
                <c:pt idx="4">
                  <c:v>مكافحة الحشرات</c:v>
                </c:pt>
                <c:pt idx="5">
                  <c:v>تداول النفايات</c:v>
                </c:pt>
                <c:pt idx="6">
                  <c:v>تطهير خزان المياه</c:v>
                </c:pt>
                <c:pt idx="7">
                  <c:v>توريد الدم</c:v>
                </c:pt>
                <c:pt idx="8">
                  <c:v>المخلفات الغير طبية</c:v>
                </c:pt>
                <c:pt idx="9">
                  <c:v>توريد وإعداد الوجبات</c:v>
                </c:pt>
                <c:pt idx="10">
                  <c:v>صيانة</c:v>
                </c:pt>
                <c:pt idx="11">
                  <c:v>صيانة جهازاشعة تشخيصية</c:v>
                </c:pt>
                <c:pt idx="12">
                  <c:v>صيانة وقائية و اصلاحية ميديكال</c:v>
                </c:pt>
                <c:pt idx="13">
                  <c:v>صيانة طبية المجموعه المصريه</c:v>
                </c:pt>
                <c:pt idx="14">
                  <c:v>صيانة طبية سيرفوميد</c:v>
                </c:pt>
                <c:pt idx="15">
                  <c:v>صيانة طبية لايف كير</c:v>
                </c:pt>
                <c:pt idx="16">
                  <c:v>صيانة طبية جي أي</c:v>
                </c:pt>
              </c:strCache>
            </c:strRef>
          </c:cat>
          <c:val>
            <c:numRef>
              <c:f>Total!$C$12:$C$28</c:f>
              <c:numCache>
                <c:formatCode>0%</c:formatCode>
                <c:ptCount val="17"/>
                <c:pt idx="0">
                  <c:v>0</c:v>
                </c:pt>
                <c:pt idx="1">
                  <c:v>0</c:v>
                </c:pt>
                <c:pt idx="2">
                  <c:v>0.81</c:v>
                </c:pt>
                <c:pt idx="3">
                  <c:v>0</c:v>
                </c:pt>
                <c:pt idx="4">
                  <c:v>0</c:v>
                </c:pt>
                <c:pt idx="5">
                  <c:v>0</c:v>
                </c:pt>
                <c:pt idx="6">
                  <c:v>0</c:v>
                </c:pt>
                <c:pt idx="7">
                  <c:v>0</c:v>
                </c:pt>
                <c:pt idx="8">
                  <c:v>1</c:v>
                </c:pt>
                <c:pt idx="9">
                  <c:v>0</c:v>
                </c:pt>
                <c:pt idx="10">
                  <c:v>1</c:v>
                </c:pt>
                <c:pt idx="11">
                  <c:v>0</c:v>
                </c:pt>
                <c:pt idx="12">
                  <c:v>1</c:v>
                </c:pt>
                <c:pt idx="13">
                  <c:v>1</c:v>
                </c:pt>
                <c:pt idx="14">
                  <c:v>1</c:v>
                </c:pt>
                <c:pt idx="15">
                  <c:v>1</c:v>
                </c:pt>
                <c:pt idx="16">
                  <c:v>1</c:v>
                </c:pt>
              </c:numCache>
            </c:numRef>
          </c:val>
          <c:extLst>
            <c:ext xmlns:c16="http://schemas.microsoft.com/office/drawing/2014/chart" uri="{C3380CC4-5D6E-409C-BE32-E72D297353CC}">
              <c16:uniqueId val="{00000000-D3A7-3744-9090-CDBF50CA408F}"/>
            </c:ext>
          </c:extLst>
        </c:ser>
        <c:dLbls>
          <c:showLegendKey val="0"/>
          <c:showVal val="1"/>
          <c:showCatName val="0"/>
          <c:showSerName val="0"/>
          <c:showPercent val="0"/>
          <c:showBubbleSize val="0"/>
        </c:dLbls>
        <c:gapWidth val="150"/>
        <c:axId val="342405496"/>
        <c:axId val="342402752"/>
      </c:barChart>
      <c:catAx>
        <c:axId val="342405496"/>
        <c:scaling>
          <c:orientation val="minMax"/>
        </c:scaling>
        <c:delete val="0"/>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42402752"/>
        <c:crosses val="autoZero"/>
        <c:auto val="1"/>
        <c:lblAlgn val="ctr"/>
        <c:lblOffset val="100"/>
        <c:noMultiLvlLbl val="0"/>
      </c:catAx>
      <c:valAx>
        <c:axId val="342402752"/>
        <c:scaling>
          <c:orientation val="minMax"/>
        </c:scaling>
        <c:delete val="0"/>
        <c:axPos val="l"/>
        <c:majorGridlines/>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42405496"/>
        <c:crosses val="autoZero"/>
        <c:crossBetween val="between"/>
      </c:valAx>
    </c:plotArea>
    <c:plotVisOnly val="1"/>
    <c:dispBlanksAs val="gap"/>
    <c:showDLblsOverMax val="0"/>
    <c:extLst>
      <c:ext uri="{0b15fc19-7d7d-44ad-8c2d-2c3a37ce22c3}">
        <chartProps xmlns="https://web.wps.cn/et/2018/main" chartId="{00b0b3a5-e16e-4cc7-a17d-24733579dc95}"/>
      </c:ext>
    </c:extLst>
  </c:chart>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8.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0.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0.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2.xml"/></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chart" Target="../charts/chart18.xml"/></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9.xml"/></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0.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chart" Target="../charts/chart21.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22.xml"/></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3.xml"/></Relationships>
</file>

<file path=xl/drawings/_rels/drawing44.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4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5.xml"/></Relationships>
</file>

<file path=xl/drawings/_rels/drawing4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2</xdr:col>
      <xdr:colOff>778563</xdr:colOff>
      <xdr:row>0</xdr:row>
      <xdr:rowOff>129545</xdr:rowOff>
    </xdr:from>
    <xdr:to>
      <xdr:col>4</xdr:col>
      <xdr:colOff>407700</xdr:colOff>
      <xdr:row>4</xdr:row>
      <xdr:rowOff>142152</xdr:rowOff>
    </xdr:to>
    <xdr:pic>
      <xdr:nvPicPr>
        <xdr:cNvPr id="4" name="Picture 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400800" y="129540"/>
          <a:ext cx="1137920" cy="7994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319088</xdr:colOff>
      <xdr:row>7</xdr:row>
      <xdr:rowOff>11430</xdr:rowOff>
    </xdr:from>
    <xdr:to>
      <xdr:col>12</xdr:col>
      <xdr:colOff>628650</xdr:colOff>
      <xdr:row>23</xdr:row>
      <xdr:rowOff>190500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467649</xdr:colOff>
      <xdr:row>0</xdr:row>
      <xdr:rowOff>68304</xdr:rowOff>
    </xdr:from>
    <xdr:to>
      <xdr:col>5</xdr:col>
      <xdr:colOff>618616</xdr:colOff>
      <xdr:row>4</xdr:row>
      <xdr:rowOff>71517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823460" y="67945"/>
          <a:ext cx="773430" cy="790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634999</xdr:colOff>
      <xdr:row>0</xdr:row>
      <xdr:rowOff>0</xdr:rowOff>
    </xdr:from>
    <xdr:to>
      <xdr:col>3</xdr:col>
      <xdr:colOff>628934</xdr:colOff>
      <xdr:row>4</xdr:row>
      <xdr:rowOff>7976</xdr:rowOff>
    </xdr:to>
    <xdr:pic>
      <xdr:nvPicPr>
        <xdr:cNvPr id="3" name="Picture 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304915" y="0"/>
          <a:ext cx="724535" cy="7950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39688</xdr:colOff>
      <xdr:row>7</xdr:row>
      <xdr:rowOff>11430</xdr:rowOff>
    </xdr:from>
    <xdr:to>
      <xdr:col>15</xdr:col>
      <xdr:colOff>565150</xdr:colOff>
      <xdr:row>24</xdr:row>
      <xdr:rowOff>7470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599985</xdr:colOff>
      <xdr:row>0</xdr:row>
      <xdr:rowOff>117928</xdr:rowOff>
    </xdr:from>
    <xdr:to>
      <xdr:col>7</xdr:col>
      <xdr:colOff>110347</xdr:colOff>
      <xdr:row>4</xdr:row>
      <xdr:rowOff>121141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120640" y="117475"/>
          <a:ext cx="755015" cy="790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8611</xdr:colOff>
      <xdr:row>0</xdr:row>
      <xdr:rowOff>79793</xdr:rowOff>
    </xdr:from>
    <xdr:to>
      <xdr:col>4</xdr:col>
      <xdr:colOff>0</xdr:colOff>
      <xdr:row>4</xdr:row>
      <xdr:rowOff>77310</xdr:rowOff>
    </xdr:to>
    <xdr:pic>
      <xdr:nvPicPr>
        <xdr:cNvPr id="3" name="Picture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409055" y="79375"/>
          <a:ext cx="721995" cy="7848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319088</xdr:colOff>
      <xdr:row>7</xdr:row>
      <xdr:rowOff>11430</xdr:rowOff>
    </xdr:from>
    <xdr:to>
      <xdr:col>12</xdr:col>
      <xdr:colOff>628650</xdr:colOff>
      <xdr:row>17</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636270</xdr:colOff>
      <xdr:row>0</xdr:row>
      <xdr:rowOff>0</xdr:rowOff>
    </xdr:from>
    <xdr:to>
      <xdr:col>6</xdr:col>
      <xdr:colOff>146633</xdr:colOff>
      <xdr:row>4</xdr:row>
      <xdr:rowOff>3213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0"/>
          <a:ext cx="768350" cy="790575"/>
        </a:xfrm>
        <a:prstGeom prst="rect">
          <a:avLst/>
        </a:prstGeom>
      </xdr:spPr>
    </xdr:pic>
    <xdr:clientData/>
  </xdr:twoCellAnchor>
  <xdr:twoCellAnchor>
    <xdr:from>
      <xdr:col>4</xdr:col>
      <xdr:colOff>72571</xdr:colOff>
      <xdr:row>7</xdr:row>
      <xdr:rowOff>11429</xdr:rowOff>
    </xdr:from>
    <xdr:to>
      <xdr:col>12</xdr:col>
      <xdr:colOff>653144</xdr:colOff>
      <xdr:row>23</xdr:row>
      <xdr:rowOff>199570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636270</xdr:colOff>
      <xdr:row>0</xdr:row>
      <xdr:rowOff>0</xdr:rowOff>
    </xdr:from>
    <xdr:to>
      <xdr:col>6</xdr:col>
      <xdr:colOff>146633</xdr:colOff>
      <xdr:row>4</xdr:row>
      <xdr:rowOff>3213</xdr:rowOff>
    </xdr:to>
    <xdr:pic>
      <xdr:nvPicPr>
        <xdr:cNvPr id="5" name="Picture 2">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0"/>
          <a:ext cx="768350" cy="790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4975356</xdr:colOff>
      <xdr:row>0</xdr:row>
      <xdr:rowOff>49038</xdr:rowOff>
    </xdr:from>
    <xdr:to>
      <xdr:col>2</xdr:col>
      <xdr:colOff>118637</xdr:colOff>
      <xdr:row>4</xdr:row>
      <xdr:rowOff>55022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470525" y="48895"/>
          <a:ext cx="318135" cy="7931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117928</xdr:colOff>
      <xdr:row>7</xdr:row>
      <xdr:rowOff>11430</xdr:rowOff>
    </xdr:from>
    <xdr:to>
      <xdr:col>12</xdr:col>
      <xdr:colOff>628650</xdr:colOff>
      <xdr:row>23</xdr:row>
      <xdr:rowOff>181428</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636270</xdr:colOff>
      <xdr:row>0</xdr:row>
      <xdr:rowOff>38100</xdr:rowOff>
    </xdr:from>
    <xdr:to>
      <xdr:col>6</xdr:col>
      <xdr:colOff>146633</xdr:colOff>
      <xdr:row>4</xdr:row>
      <xdr:rowOff>41313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38100"/>
          <a:ext cx="768350" cy="7905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480786</xdr:colOff>
      <xdr:row>0</xdr:row>
      <xdr:rowOff>81643</xdr:rowOff>
    </xdr:from>
    <xdr:to>
      <xdr:col>3</xdr:col>
      <xdr:colOff>471945</xdr:colOff>
      <xdr:row>4</xdr:row>
      <xdr:rowOff>66282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151245" y="81280"/>
          <a:ext cx="721360" cy="7721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95250</xdr:colOff>
      <xdr:row>7</xdr:row>
      <xdr:rowOff>11430</xdr:rowOff>
    </xdr:from>
    <xdr:to>
      <xdr:col>12</xdr:col>
      <xdr:colOff>628650</xdr:colOff>
      <xdr:row>23</xdr:row>
      <xdr:rowOff>182562</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104458</xdr:colOff>
      <xdr:row>0</xdr:row>
      <xdr:rowOff>78317</xdr:rowOff>
    </xdr:from>
    <xdr:to>
      <xdr:col>6</xdr:col>
      <xdr:colOff>289508</xdr:colOff>
      <xdr:row>4</xdr:row>
      <xdr:rowOff>81530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625340" y="78105"/>
          <a:ext cx="807085" cy="7905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4487847</xdr:colOff>
      <xdr:row>0</xdr:row>
      <xdr:rowOff>107950</xdr:rowOff>
    </xdr:from>
    <xdr:to>
      <xdr:col>2</xdr:col>
      <xdr:colOff>0</xdr:colOff>
      <xdr:row>4</xdr:row>
      <xdr:rowOff>113934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982845" y="107950"/>
          <a:ext cx="687705" cy="7931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319088</xdr:colOff>
      <xdr:row>7</xdr:row>
      <xdr:rowOff>11430</xdr:rowOff>
    </xdr:from>
    <xdr:to>
      <xdr:col>12</xdr:col>
      <xdr:colOff>628650</xdr:colOff>
      <xdr:row>17</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629215</xdr:colOff>
      <xdr:row>0</xdr:row>
      <xdr:rowOff>77611</xdr:rowOff>
    </xdr:from>
    <xdr:to>
      <xdr:col>6</xdr:col>
      <xdr:colOff>139578</xdr:colOff>
      <xdr:row>4</xdr:row>
      <xdr:rowOff>80824</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77470"/>
          <a:ext cx="761365" cy="7905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108857</xdr:colOff>
      <xdr:row>0</xdr:row>
      <xdr:rowOff>27214</xdr:rowOff>
    </xdr:from>
    <xdr:to>
      <xdr:col>4</xdr:col>
      <xdr:colOff>100016</xdr:colOff>
      <xdr:row>4</xdr:row>
      <xdr:rowOff>11853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858635" y="26670"/>
          <a:ext cx="721360" cy="77216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4</xdr:col>
      <xdr:colOff>319088</xdr:colOff>
      <xdr:row>7</xdr:row>
      <xdr:rowOff>11430</xdr:rowOff>
    </xdr:from>
    <xdr:to>
      <xdr:col>12</xdr:col>
      <xdr:colOff>628650</xdr:colOff>
      <xdr:row>19</xdr:row>
      <xdr:rowOff>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118392</xdr:colOff>
      <xdr:row>0</xdr:row>
      <xdr:rowOff>74083</xdr:rowOff>
    </xdr:from>
    <xdr:to>
      <xdr:col>6</xdr:col>
      <xdr:colOff>299033</xdr:colOff>
      <xdr:row>4</xdr:row>
      <xdr:rowOff>77296</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639310" y="73660"/>
          <a:ext cx="802640" cy="790575"/>
        </a:xfrm>
        <a:prstGeom prst="rect">
          <a:avLst/>
        </a:prstGeom>
      </xdr:spPr>
    </xdr:pic>
    <xdr:clientData/>
  </xdr:twoCellAnchor>
  <xdr:twoCellAnchor>
    <xdr:from>
      <xdr:col>4</xdr:col>
      <xdr:colOff>18142</xdr:colOff>
      <xdr:row>7</xdr:row>
      <xdr:rowOff>11430</xdr:rowOff>
    </xdr:from>
    <xdr:to>
      <xdr:col>12</xdr:col>
      <xdr:colOff>644072</xdr:colOff>
      <xdr:row>23</xdr:row>
      <xdr:rowOff>190500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671497</xdr:colOff>
      <xdr:row>0</xdr:row>
      <xdr:rowOff>38100</xdr:rowOff>
    </xdr:from>
    <xdr:to>
      <xdr:col>3</xdr:col>
      <xdr:colOff>653665</xdr:colOff>
      <xdr:row>4</xdr:row>
      <xdr:rowOff>82184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481445" y="38100"/>
          <a:ext cx="712470" cy="83121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133318</xdr:colOff>
      <xdr:row>0</xdr:row>
      <xdr:rowOff>68539</xdr:rowOff>
    </xdr:from>
    <xdr:to>
      <xdr:col>4</xdr:col>
      <xdr:colOff>124477</xdr:colOff>
      <xdr:row>4</xdr:row>
      <xdr:rowOff>53178</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533515" y="67945"/>
          <a:ext cx="721995" cy="77216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3</xdr:col>
      <xdr:colOff>1098551</xdr:colOff>
      <xdr:row>7</xdr:row>
      <xdr:rowOff>11430</xdr:rowOff>
    </xdr:from>
    <xdr:to>
      <xdr:col>12</xdr:col>
      <xdr:colOff>666750</xdr:colOff>
      <xdr:row>23</xdr:row>
      <xdr:rowOff>25400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121920</xdr:colOff>
      <xdr:row>0</xdr:row>
      <xdr:rowOff>28575</xdr:rowOff>
    </xdr:from>
    <xdr:to>
      <xdr:col>6</xdr:col>
      <xdr:colOff>305383</xdr:colOff>
      <xdr:row>4</xdr:row>
      <xdr:rowOff>31788</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643120" y="28575"/>
          <a:ext cx="805180" cy="7905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126147</xdr:colOff>
      <xdr:row>0</xdr:row>
      <xdr:rowOff>130574</xdr:rowOff>
    </xdr:from>
    <xdr:to>
      <xdr:col>4</xdr:col>
      <xdr:colOff>117839</xdr:colOff>
      <xdr:row>4</xdr:row>
      <xdr:rowOff>136682</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526530" y="130175"/>
          <a:ext cx="721995" cy="7937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4</xdr:col>
      <xdr:colOff>44824</xdr:colOff>
      <xdr:row>6</xdr:row>
      <xdr:rowOff>160842</xdr:rowOff>
    </xdr:from>
    <xdr:to>
      <xdr:col>16</xdr:col>
      <xdr:colOff>635000</xdr:colOff>
      <xdr:row>24</xdr:row>
      <xdr:rowOff>21167</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301961</xdr:colOff>
      <xdr:row>0</xdr:row>
      <xdr:rowOff>46318</xdr:rowOff>
    </xdr:from>
    <xdr:to>
      <xdr:col>8</xdr:col>
      <xdr:colOff>485424</xdr:colOff>
      <xdr:row>4</xdr:row>
      <xdr:rowOff>49531</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6067425" y="45720"/>
          <a:ext cx="805815" cy="79121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700315</xdr:colOff>
      <xdr:row>0</xdr:row>
      <xdr:rowOff>46264</xdr:rowOff>
    </xdr:from>
    <xdr:to>
      <xdr:col>3</xdr:col>
      <xdr:colOff>692008</xdr:colOff>
      <xdr:row>4</xdr:row>
      <xdr:rowOff>52372</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370320" y="45720"/>
          <a:ext cx="721995" cy="7937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4995847</xdr:colOff>
      <xdr:row>0</xdr:row>
      <xdr:rowOff>63500</xdr:rowOff>
    </xdr:from>
    <xdr:to>
      <xdr:col>2</xdr:col>
      <xdr:colOff>0</xdr:colOff>
      <xdr:row>4</xdr:row>
      <xdr:rowOff>107584</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490845" y="63500"/>
          <a:ext cx="319405" cy="83121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4</xdr:col>
      <xdr:colOff>319088</xdr:colOff>
      <xdr:row>7</xdr:row>
      <xdr:rowOff>11430</xdr:rowOff>
    </xdr:from>
    <xdr:to>
      <xdr:col>12</xdr:col>
      <xdr:colOff>628650</xdr:colOff>
      <xdr:row>19</xdr:row>
      <xdr:rowOff>0</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179070</xdr:colOff>
      <xdr:row>0</xdr:row>
      <xdr:rowOff>57150</xdr:rowOff>
    </xdr:from>
    <xdr:to>
      <xdr:col>6</xdr:col>
      <xdr:colOff>362533</xdr:colOff>
      <xdr:row>4</xdr:row>
      <xdr:rowOff>60363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700270" y="57150"/>
          <a:ext cx="805180" cy="7905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4</xdr:col>
      <xdr:colOff>44824</xdr:colOff>
      <xdr:row>6</xdr:row>
      <xdr:rowOff>160842</xdr:rowOff>
    </xdr:from>
    <xdr:to>
      <xdr:col>16</xdr:col>
      <xdr:colOff>635000</xdr:colOff>
      <xdr:row>24</xdr:row>
      <xdr:rowOff>21167</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301961</xdr:colOff>
      <xdr:row>0</xdr:row>
      <xdr:rowOff>46318</xdr:rowOff>
    </xdr:from>
    <xdr:to>
      <xdr:col>8</xdr:col>
      <xdr:colOff>485424</xdr:colOff>
      <xdr:row>4</xdr:row>
      <xdr:rowOff>49531</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6067425" y="45720"/>
          <a:ext cx="805815" cy="79121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679450</xdr:colOff>
      <xdr:row>0</xdr:row>
      <xdr:rowOff>88900</xdr:rowOff>
    </xdr:from>
    <xdr:to>
      <xdr:col>4</xdr:col>
      <xdr:colOff>3244</xdr:colOff>
      <xdr:row>4</xdr:row>
      <xdr:rowOff>109046</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489700" y="88900"/>
          <a:ext cx="784225" cy="80708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4</xdr:col>
      <xdr:colOff>319088</xdr:colOff>
      <xdr:row>7</xdr:row>
      <xdr:rowOff>11430</xdr:rowOff>
    </xdr:from>
    <xdr:to>
      <xdr:col>12</xdr:col>
      <xdr:colOff>628650</xdr:colOff>
      <xdr:row>23</xdr:row>
      <xdr:rowOff>171450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394969</xdr:colOff>
      <xdr:row>0</xdr:row>
      <xdr:rowOff>82550</xdr:rowOff>
    </xdr:from>
    <xdr:to>
      <xdr:col>6</xdr:col>
      <xdr:colOff>95249</xdr:colOff>
      <xdr:row>4</xdr:row>
      <xdr:rowOff>85763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293235" y="82550"/>
          <a:ext cx="944880" cy="7905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698500</xdr:colOff>
      <xdr:row>0</xdr:row>
      <xdr:rowOff>25400</xdr:rowOff>
    </xdr:from>
    <xdr:to>
      <xdr:col>4</xdr:col>
      <xdr:colOff>3244</xdr:colOff>
      <xdr:row>4</xdr:row>
      <xdr:rowOff>45546</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508750" y="25400"/>
          <a:ext cx="765175" cy="80708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4</xdr:col>
      <xdr:colOff>114300</xdr:colOff>
      <xdr:row>7</xdr:row>
      <xdr:rowOff>11430</xdr:rowOff>
    </xdr:from>
    <xdr:to>
      <xdr:col>12</xdr:col>
      <xdr:colOff>628650</xdr:colOff>
      <xdr:row>24</xdr:row>
      <xdr:rowOff>25400</xdr:rowOff>
    </xdr:to>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566420</xdr:colOff>
      <xdr:row>0</xdr:row>
      <xdr:rowOff>69850</xdr:rowOff>
    </xdr:from>
    <xdr:to>
      <xdr:col>6</xdr:col>
      <xdr:colOff>76783</xdr:colOff>
      <xdr:row>4</xdr:row>
      <xdr:rowOff>73063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465320" y="69850"/>
          <a:ext cx="754380" cy="7905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258747</xdr:colOff>
      <xdr:row>0</xdr:row>
      <xdr:rowOff>0</xdr:rowOff>
    </xdr:from>
    <xdr:to>
      <xdr:col>4</xdr:col>
      <xdr:colOff>400050</xdr:colOff>
      <xdr:row>4</xdr:row>
      <xdr:rowOff>120284</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798945" y="0"/>
          <a:ext cx="871855" cy="90741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409538</xdr:colOff>
      <xdr:row>0</xdr:row>
      <xdr:rowOff>39968</xdr:rowOff>
    </xdr:from>
    <xdr:to>
      <xdr:col>6</xdr:col>
      <xdr:colOff>5745</xdr:colOff>
      <xdr:row>4</xdr:row>
      <xdr:rowOff>119381</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307840" y="39370"/>
          <a:ext cx="830580" cy="867410"/>
        </a:xfrm>
        <a:prstGeom prst="rect">
          <a:avLst/>
        </a:prstGeom>
      </xdr:spPr>
    </xdr:pic>
    <xdr:clientData/>
  </xdr:twoCellAnchor>
  <xdr:twoCellAnchor>
    <xdr:from>
      <xdr:col>4</xdr:col>
      <xdr:colOff>25400</xdr:colOff>
      <xdr:row>6</xdr:row>
      <xdr:rowOff>183029</xdr:rowOff>
    </xdr:from>
    <xdr:to>
      <xdr:col>12</xdr:col>
      <xdr:colOff>539750</xdr:colOff>
      <xdr:row>23</xdr:row>
      <xdr:rowOff>183029</xdr:rowOff>
    </xdr:to>
    <xdr:graphicFrame macro="">
      <xdr:nvGraphicFramePr>
        <xdr:cNvPr id="4" name="Chart 3">
          <a:extLst>
            <a:ext uri="{FF2B5EF4-FFF2-40B4-BE49-F238E27FC236}">
              <a16:creationId xmlns:a16="http://schemas.microsoft.com/office/drawing/2014/main" id="{00000000-0008-0000-1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220647</xdr:colOff>
      <xdr:row>0</xdr:row>
      <xdr:rowOff>25400</xdr:rowOff>
    </xdr:from>
    <xdr:to>
      <xdr:col>4</xdr:col>
      <xdr:colOff>361950</xdr:colOff>
      <xdr:row>4</xdr:row>
      <xdr:rowOff>145684</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760845" y="25400"/>
          <a:ext cx="871855" cy="90741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4</xdr:col>
      <xdr:colOff>331470</xdr:colOff>
      <xdr:row>0</xdr:row>
      <xdr:rowOff>63500</xdr:rowOff>
    </xdr:from>
    <xdr:to>
      <xdr:col>5</xdr:col>
      <xdr:colOff>540333</xdr:colOff>
      <xdr:row>4</xdr:row>
      <xdr:rowOff>142913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230370" y="63500"/>
          <a:ext cx="830580" cy="866775"/>
        </a:xfrm>
        <a:prstGeom prst="rect">
          <a:avLst/>
        </a:prstGeom>
      </xdr:spPr>
    </xdr:pic>
    <xdr:clientData/>
  </xdr:twoCellAnchor>
  <xdr:twoCellAnchor>
    <xdr:from>
      <xdr:col>4</xdr:col>
      <xdr:colOff>25400</xdr:colOff>
      <xdr:row>6</xdr:row>
      <xdr:rowOff>165100</xdr:rowOff>
    </xdr:from>
    <xdr:to>
      <xdr:col>12</xdr:col>
      <xdr:colOff>533400</xdr:colOff>
      <xdr:row>24</xdr:row>
      <xdr:rowOff>19050</xdr:rowOff>
    </xdr:to>
    <xdr:graphicFrame macro="">
      <xdr:nvGraphicFramePr>
        <xdr:cNvPr id="4" name="Chart 3">
          <a:extLst>
            <a:ext uri="{FF2B5EF4-FFF2-40B4-BE49-F238E27FC236}">
              <a16:creationId xmlns:a16="http://schemas.microsoft.com/office/drawing/2014/main" id="{00000000-0008-0000-1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302291</xdr:colOff>
      <xdr:row>0</xdr:row>
      <xdr:rowOff>61685</xdr:rowOff>
    </xdr:from>
    <xdr:to>
      <xdr:col>3</xdr:col>
      <xdr:colOff>443593</xdr:colOff>
      <xdr:row>4</xdr:row>
      <xdr:rowOff>181969</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112510" y="61595"/>
          <a:ext cx="871220" cy="90741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4</xdr:col>
      <xdr:colOff>76200</xdr:colOff>
      <xdr:row>7</xdr:row>
      <xdr:rowOff>11430</xdr:rowOff>
    </xdr:from>
    <xdr:to>
      <xdr:col>12</xdr:col>
      <xdr:colOff>628650</xdr:colOff>
      <xdr:row>23</xdr:row>
      <xdr:rowOff>165100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521970</xdr:colOff>
      <xdr:row>0</xdr:row>
      <xdr:rowOff>82550</xdr:rowOff>
    </xdr:from>
    <xdr:to>
      <xdr:col>6</xdr:col>
      <xdr:colOff>32333</xdr:colOff>
      <xdr:row>4</xdr:row>
      <xdr:rowOff>85763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420870" y="82550"/>
          <a:ext cx="754380" cy="79057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220647</xdr:colOff>
      <xdr:row>0</xdr:row>
      <xdr:rowOff>25400</xdr:rowOff>
    </xdr:from>
    <xdr:to>
      <xdr:col>4</xdr:col>
      <xdr:colOff>361950</xdr:colOff>
      <xdr:row>4</xdr:row>
      <xdr:rowOff>145684</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760845" y="25400"/>
          <a:ext cx="871855" cy="90741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4</xdr:col>
      <xdr:colOff>76200</xdr:colOff>
      <xdr:row>7</xdr:row>
      <xdr:rowOff>11430</xdr:rowOff>
    </xdr:from>
    <xdr:to>
      <xdr:col>12</xdr:col>
      <xdr:colOff>628650</xdr:colOff>
      <xdr:row>23</xdr:row>
      <xdr:rowOff>165100</xdr:rowOff>
    </xdr:to>
    <xdr:graphicFrame macro="">
      <xdr:nvGraphicFramePr>
        <xdr:cNvPr id="2" name="Chart 1">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629920</xdr:colOff>
      <xdr:row>0</xdr:row>
      <xdr:rowOff>69850</xdr:rowOff>
    </xdr:from>
    <xdr:to>
      <xdr:col>6</xdr:col>
      <xdr:colOff>140283</xdr:colOff>
      <xdr:row>4</xdr:row>
      <xdr:rowOff>73063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69850"/>
          <a:ext cx="762000" cy="79057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220647</xdr:colOff>
      <xdr:row>0</xdr:row>
      <xdr:rowOff>25400</xdr:rowOff>
    </xdr:from>
    <xdr:to>
      <xdr:col>4</xdr:col>
      <xdr:colOff>361950</xdr:colOff>
      <xdr:row>4</xdr:row>
      <xdr:rowOff>145684</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760845" y="25400"/>
          <a:ext cx="871855" cy="90741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4</xdr:col>
      <xdr:colOff>76200</xdr:colOff>
      <xdr:row>7</xdr:row>
      <xdr:rowOff>11430</xdr:rowOff>
    </xdr:from>
    <xdr:to>
      <xdr:col>12</xdr:col>
      <xdr:colOff>628650</xdr:colOff>
      <xdr:row>23</xdr:row>
      <xdr:rowOff>165100</xdr:rowOff>
    </xdr:to>
    <xdr:graphicFrame macro="">
      <xdr:nvGraphicFramePr>
        <xdr:cNvPr id="2" name="Chart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344170</xdr:colOff>
      <xdr:row>0</xdr:row>
      <xdr:rowOff>88900</xdr:rowOff>
    </xdr:from>
    <xdr:to>
      <xdr:col>5</xdr:col>
      <xdr:colOff>527633</xdr:colOff>
      <xdr:row>4</xdr:row>
      <xdr:rowOff>92113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243070" y="88900"/>
          <a:ext cx="805180" cy="7905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402076</xdr:colOff>
      <xdr:row>0</xdr:row>
      <xdr:rowOff>25400</xdr:rowOff>
    </xdr:from>
    <xdr:to>
      <xdr:col>3</xdr:col>
      <xdr:colOff>543378</xdr:colOff>
      <xdr:row>4</xdr:row>
      <xdr:rowOff>145684</xdr:rowOff>
    </xdr:to>
    <xdr:pic>
      <xdr:nvPicPr>
        <xdr:cNvPr id="2" name="Picture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212205" y="25400"/>
          <a:ext cx="871220" cy="90741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4</xdr:col>
      <xdr:colOff>76200</xdr:colOff>
      <xdr:row>7</xdr:row>
      <xdr:rowOff>11430</xdr:rowOff>
    </xdr:from>
    <xdr:to>
      <xdr:col>12</xdr:col>
      <xdr:colOff>628650</xdr:colOff>
      <xdr:row>23</xdr:row>
      <xdr:rowOff>165100</xdr:rowOff>
    </xdr:to>
    <xdr:graphicFrame macro="">
      <xdr:nvGraphicFramePr>
        <xdr:cNvPr id="2" name="Chart 1">
          <a:extLst>
            <a:ext uri="{FF2B5EF4-FFF2-40B4-BE49-F238E27FC236}">
              <a16:creationId xmlns:a16="http://schemas.microsoft.com/office/drawing/2014/main" id="{00000000-0008-0000-2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629920</xdr:colOff>
      <xdr:row>0</xdr:row>
      <xdr:rowOff>69850</xdr:rowOff>
    </xdr:from>
    <xdr:to>
      <xdr:col>6</xdr:col>
      <xdr:colOff>140283</xdr:colOff>
      <xdr:row>4</xdr:row>
      <xdr:rowOff>73063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69850"/>
          <a:ext cx="762000" cy="7905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220647</xdr:colOff>
      <xdr:row>0</xdr:row>
      <xdr:rowOff>25400</xdr:rowOff>
    </xdr:from>
    <xdr:to>
      <xdr:col>4</xdr:col>
      <xdr:colOff>361950</xdr:colOff>
      <xdr:row>4</xdr:row>
      <xdr:rowOff>145684</xdr:rowOff>
    </xdr:to>
    <xdr:pic>
      <xdr:nvPicPr>
        <xdr:cNvPr id="2" name="Picture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760845" y="25400"/>
          <a:ext cx="871855" cy="90741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4</xdr:col>
      <xdr:colOff>76200</xdr:colOff>
      <xdr:row>7</xdr:row>
      <xdr:rowOff>11430</xdr:rowOff>
    </xdr:from>
    <xdr:to>
      <xdr:col>12</xdr:col>
      <xdr:colOff>628650</xdr:colOff>
      <xdr:row>23</xdr:row>
      <xdr:rowOff>165100</xdr:rowOff>
    </xdr:to>
    <xdr:graphicFrame macro="">
      <xdr:nvGraphicFramePr>
        <xdr:cNvPr id="2" name="Chart 1">
          <a:extLst>
            <a:ext uri="{FF2B5EF4-FFF2-40B4-BE49-F238E27FC236}">
              <a16:creationId xmlns:a16="http://schemas.microsoft.com/office/drawing/2014/main" id="{00000000-0008-0000-2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629920</xdr:colOff>
      <xdr:row>0</xdr:row>
      <xdr:rowOff>69850</xdr:rowOff>
    </xdr:from>
    <xdr:to>
      <xdr:col>6</xdr:col>
      <xdr:colOff>140283</xdr:colOff>
      <xdr:row>4</xdr:row>
      <xdr:rowOff>73063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69850"/>
          <a:ext cx="762000" cy="79057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220647</xdr:colOff>
      <xdr:row>0</xdr:row>
      <xdr:rowOff>25400</xdr:rowOff>
    </xdr:from>
    <xdr:to>
      <xdr:col>4</xdr:col>
      <xdr:colOff>361950</xdr:colOff>
      <xdr:row>4</xdr:row>
      <xdr:rowOff>145684</xdr:rowOff>
    </xdr:to>
    <xdr:pic>
      <xdr:nvPicPr>
        <xdr:cNvPr id="2" name="Picture 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760845" y="25400"/>
          <a:ext cx="871855" cy="90741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4</xdr:col>
      <xdr:colOff>76200</xdr:colOff>
      <xdr:row>7</xdr:row>
      <xdr:rowOff>11430</xdr:rowOff>
    </xdr:from>
    <xdr:to>
      <xdr:col>12</xdr:col>
      <xdr:colOff>628650</xdr:colOff>
      <xdr:row>23</xdr:row>
      <xdr:rowOff>165100</xdr:rowOff>
    </xdr:to>
    <xdr:graphicFrame macro="">
      <xdr:nvGraphicFramePr>
        <xdr:cNvPr id="2" name="Chart 1">
          <a:extLst>
            <a:ext uri="{FF2B5EF4-FFF2-40B4-BE49-F238E27FC236}">
              <a16:creationId xmlns:a16="http://schemas.microsoft.com/office/drawing/2014/main" id="{00000000-0008-0000-2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629920</xdr:colOff>
      <xdr:row>0</xdr:row>
      <xdr:rowOff>69850</xdr:rowOff>
    </xdr:from>
    <xdr:to>
      <xdr:col>6</xdr:col>
      <xdr:colOff>140283</xdr:colOff>
      <xdr:row>4</xdr:row>
      <xdr:rowOff>73063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1200" y="69850"/>
          <a:ext cx="762000" cy="79057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20</xdr:col>
      <xdr:colOff>629920</xdr:colOff>
      <xdr:row>0</xdr:row>
      <xdr:rowOff>69850</xdr:rowOff>
    </xdr:from>
    <xdr:to>
      <xdr:col>22</xdr:col>
      <xdr:colOff>152985</xdr:colOff>
      <xdr:row>4</xdr:row>
      <xdr:rowOff>123863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8859500" y="69850"/>
          <a:ext cx="774700" cy="841375"/>
        </a:xfrm>
        <a:prstGeom prst="rect">
          <a:avLst/>
        </a:prstGeom>
      </xdr:spPr>
    </xdr:pic>
    <xdr:clientData/>
  </xdr:twoCellAnchor>
  <xdr:twoCellAnchor>
    <xdr:from>
      <xdr:col>24</xdr:col>
      <xdr:colOff>56138</xdr:colOff>
      <xdr:row>6</xdr:row>
      <xdr:rowOff>105465</xdr:rowOff>
    </xdr:from>
    <xdr:to>
      <xdr:col>30</xdr:col>
      <xdr:colOff>588065</xdr:colOff>
      <xdr:row>20</xdr:row>
      <xdr:rowOff>143013</xdr:rowOff>
    </xdr:to>
    <xdr:graphicFrame macro="">
      <xdr:nvGraphicFramePr>
        <xdr:cNvPr id="5" name="Chart 4">
          <a:extLst>
            <a:ext uri="{FF2B5EF4-FFF2-40B4-BE49-F238E27FC236}">
              <a16:creationId xmlns:a16="http://schemas.microsoft.com/office/drawing/2014/main" id="{00000000-0008-0000-2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4932347</xdr:colOff>
      <xdr:row>0</xdr:row>
      <xdr:rowOff>95250</xdr:rowOff>
    </xdr:from>
    <xdr:to>
      <xdr:col>2</xdr:col>
      <xdr:colOff>0</xdr:colOff>
      <xdr:row>4</xdr:row>
      <xdr:rowOff>19050</xdr:rowOff>
    </xdr:to>
    <xdr:pic>
      <xdr:nvPicPr>
        <xdr:cNvPr id="2" name="Picture 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427345" y="95250"/>
          <a:ext cx="382905" cy="7112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4</xdr:col>
      <xdr:colOff>319088</xdr:colOff>
      <xdr:row>7</xdr:row>
      <xdr:rowOff>11430</xdr:rowOff>
    </xdr:from>
    <xdr:to>
      <xdr:col>12</xdr:col>
      <xdr:colOff>628650</xdr:colOff>
      <xdr:row>19</xdr:row>
      <xdr:rowOff>0</xdr:rowOff>
    </xdr:to>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1270</xdr:colOff>
      <xdr:row>0</xdr:row>
      <xdr:rowOff>114300</xdr:rowOff>
    </xdr:from>
    <xdr:to>
      <xdr:col>6</xdr:col>
      <xdr:colOff>184733</xdr:colOff>
      <xdr:row>4</xdr:row>
      <xdr:rowOff>117513</xdr:rowOff>
    </xdr:to>
    <xdr:pic>
      <xdr:nvPicPr>
        <xdr:cNvPr id="3" name="Picture 2">
          <a:extLst>
            <a:ext uri="{FF2B5EF4-FFF2-40B4-BE49-F238E27FC236}">
              <a16:creationId xmlns:a16="http://schemas.microsoft.com/office/drawing/2014/main" id="{00000000-0008-0000-2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4522470" y="114300"/>
          <a:ext cx="805180" cy="79057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319088</xdr:colOff>
      <xdr:row>6</xdr:row>
      <xdr:rowOff>11430</xdr:rowOff>
    </xdr:from>
    <xdr:to>
      <xdr:col>15</xdr:col>
      <xdr:colOff>590550</xdr:colOff>
      <xdr:row>23</xdr:row>
      <xdr:rowOff>0</xdr:rowOff>
    </xdr:to>
    <xdr:graphicFrame macro="">
      <xdr:nvGraphicFramePr>
        <xdr:cNvPr id="2" name="Chart 1">
          <a:extLst>
            <a:ext uri="{FF2B5EF4-FFF2-40B4-BE49-F238E27FC236}">
              <a16:creationId xmlns:a16="http://schemas.microsoft.com/office/drawing/2014/main" id="{00000000-0008-0000-2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xdr:col>
      <xdr:colOff>293370</xdr:colOff>
      <xdr:row>0</xdr:row>
      <xdr:rowOff>0</xdr:rowOff>
    </xdr:from>
    <xdr:ext cx="2263392" cy="436786"/>
    <xdr:sp macro="" textlink="">
      <xdr:nvSpPr>
        <xdr:cNvPr id="4" name="TextBox 3" hidden="1">
          <a:extLst>
            <a:ext uri="{FF2B5EF4-FFF2-40B4-BE49-F238E27FC236}">
              <a16:creationId xmlns:a16="http://schemas.microsoft.com/office/drawing/2014/main" id="{00000000-0008-0000-2E00-000004000000}"/>
            </a:ext>
          </a:extLst>
        </xdr:cNvPr>
        <xdr:cNvSpPr txBox="1"/>
      </xdr:nvSpPr>
      <xdr:spPr>
        <a:xfrm flipH="1">
          <a:off x="10434320" y="0"/>
          <a:ext cx="2263140" cy="436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rtl="1"/>
          <a:r>
            <a:rPr lang="en-AU" sz="1100"/>
            <a:t>Designed</a:t>
          </a:r>
          <a:r>
            <a:rPr lang="en-AU" sz="1100" baseline="0"/>
            <a:t> by. Dr. Mostafa Mahmoud on 27 October 2022</a:t>
          </a:r>
          <a:endParaRPr lang="en-AU" sz="1100"/>
        </a:p>
      </xdr:txBody>
    </xdr:sp>
    <xdr:clientData/>
  </xdr:oneCellAnchor>
  <xdr:oneCellAnchor>
    <xdr:from>
      <xdr:col>15</xdr:col>
      <xdr:colOff>110490</xdr:colOff>
      <xdr:row>9</xdr:row>
      <xdr:rowOff>110490</xdr:rowOff>
    </xdr:from>
    <xdr:ext cx="2063002" cy="267735"/>
    <xdr:sp macro="" textlink="">
      <xdr:nvSpPr>
        <xdr:cNvPr id="5" name="Mostafa Mahmoud" hidden="1">
          <a:extLst>
            <a:ext uri="{FF2B5EF4-FFF2-40B4-BE49-F238E27FC236}">
              <a16:creationId xmlns:a16="http://schemas.microsoft.com/office/drawing/2014/main" id="{00000000-0008-0000-2E00-000005000000}"/>
            </a:ext>
          </a:extLst>
        </xdr:cNvPr>
        <xdr:cNvSpPr txBox="1"/>
      </xdr:nvSpPr>
      <xdr:spPr>
        <a:xfrm flipH="1">
          <a:off x="11496040" y="2131695"/>
          <a:ext cx="206248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rtl="1"/>
          <a:r>
            <a:rPr lang="en-AU" sz="1100"/>
            <a:t>Made by. Dr. Mostafa Mahmoud</a:t>
          </a:r>
        </a:p>
      </xdr:txBody>
    </xdr:sp>
    <xdr:clientData/>
  </xdr:oneCellAnchor>
  <xdr:twoCellAnchor editAs="oneCell">
    <xdr:from>
      <xdr:col>6</xdr:col>
      <xdr:colOff>46692</xdr:colOff>
      <xdr:row>0</xdr:row>
      <xdr:rowOff>64993</xdr:rowOff>
    </xdr:from>
    <xdr:to>
      <xdr:col>7</xdr:col>
      <xdr:colOff>230902</xdr:colOff>
      <xdr:row>3</xdr:row>
      <xdr:rowOff>169582</xdr:rowOff>
    </xdr:to>
    <xdr:pic>
      <xdr:nvPicPr>
        <xdr:cNvPr id="3" name="Picture 2">
          <a:extLst>
            <a:ext uri="{FF2B5EF4-FFF2-40B4-BE49-F238E27FC236}">
              <a16:creationId xmlns:a16="http://schemas.microsoft.com/office/drawing/2014/main" id="{00000000-0008-0000-2E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539105" y="64770"/>
          <a:ext cx="806450" cy="6953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laMrety/Downloads/&#1605;&#1572;&#1588;&#1585;%20&#1578;&#1602;&#1610;&#1610;&#1605;%20&#1575;&#1604;&#1593;&#1602;&#1608;&#1583;%202023%2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laMrety/Downloads/&#1605;&#1572;&#1588;&#1585;%20&#1578;&#1602;&#1610;&#1610;&#1605;%20&#1575;&#1604;&#1593;&#1602;&#1608;&#1583;%202023%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نظافة"/>
      <sheetName val="Chart"/>
      <sheetName val="الأكسجين"/>
      <sheetName val="Chart (3)"/>
      <sheetName val="الأمن والحراسة"/>
      <sheetName val="Chart (4)"/>
      <sheetName val="التخلص الآمن من ناتج الفرم"/>
      <sheetName val="Chart (5)"/>
      <sheetName val="مكافحة الحشرات"/>
      <sheetName val="Chart (6)"/>
      <sheetName val="تداول النفايات"/>
      <sheetName val="Chart (7)"/>
      <sheetName val="تطهير خزان المياه"/>
      <sheetName val="Chart (8)"/>
      <sheetName val="توريد دم"/>
      <sheetName val="Chart (9)"/>
      <sheetName val="المخلفات الغير طبية"/>
      <sheetName val="Chart (10)"/>
      <sheetName val="توريد وإعداد الوجبات"/>
      <sheetName val="Chart (11)"/>
      <sheetName val="عقد الصيانة"/>
      <sheetName val="Chart (12)"/>
      <sheetName val="اجهزة الاشعة التشخيصية"/>
      <sheetName val="Chart (13)"/>
      <sheetName val="صيانة وقائية و اصلاحية ميديكال"/>
      <sheetName val="Chart (14)"/>
      <sheetName val="M EGYPT صيانة طبية "/>
      <sheetName val="Chart (15)"/>
      <sheetName val="-صيانة طبية جلوبال"/>
      <sheetName val="Chart (16)"/>
      <sheetName val="صيانة طبية servamed-"/>
      <sheetName val="Chart (17)"/>
      <sheetName val="Chart (18)"/>
      <sheetName val="صيانة طبية life care-"/>
      <sheetName val="صيانة اجهزة تخدير GE"/>
      <sheetName val="Chart (19)"/>
      <sheetName val="Total"/>
    </sheetNames>
    <sheetDataSet>
      <sheetData sheetId="0" refreshError="1"/>
      <sheetData sheetId="1"/>
      <sheetData sheetId="2" refreshError="1"/>
      <sheetData sheetId="3" refreshError="1"/>
      <sheetData sheetId="4" refreshError="1"/>
      <sheetData sheetId="5">
        <row r="12">
          <cell r="D12" t="str">
            <v>النسبة</v>
          </cell>
        </row>
        <row r="13">
          <cell r="A13" t="str">
            <v>يونيو 2022</v>
          </cell>
          <cell r="D13">
            <v>0.9</v>
          </cell>
        </row>
        <row r="14">
          <cell r="A14" t="str">
            <v>سبتمبر 2022</v>
          </cell>
          <cell r="D14">
            <v>0.87692307692307703</v>
          </cell>
        </row>
        <row r="15">
          <cell r="A15" t="str">
            <v>ديسمبر 2022</v>
          </cell>
          <cell r="D15">
            <v>0.9</v>
          </cell>
        </row>
        <row r="16">
          <cell r="A16" t="str">
            <v>مارس 2023</v>
          </cell>
          <cell r="D16">
            <v>0.9</v>
          </cell>
        </row>
        <row r="17">
          <cell r="A17" t="str">
            <v>يونيو 2023</v>
          </cell>
          <cell r="D17">
            <v>0.90769230769230802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نظافة"/>
      <sheetName val="Chart"/>
      <sheetName val="الأكسجين"/>
      <sheetName val="Chart (3)"/>
      <sheetName val="الأمن والحراسة"/>
      <sheetName val="Chart (4)"/>
      <sheetName val="التخلص الآمن من ناتج الفرم"/>
      <sheetName val="Chart (5)"/>
      <sheetName val="مكافحة الحشرات"/>
      <sheetName val="Chart (6)"/>
      <sheetName val="تداول النفايات"/>
      <sheetName val="Chart (7)"/>
      <sheetName val="تطهير خزان المياه"/>
      <sheetName val="Chart (8)"/>
      <sheetName val="توريد دم"/>
      <sheetName val="Chart (9)"/>
      <sheetName val="المخلفات الغير طبية"/>
      <sheetName val="Chart (10)"/>
      <sheetName val="توريد وإعداد الوجبات"/>
      <sheetName val="Chart (11)"/>
      <sheetName val="عقد الصيانة"/>
      <sheetName val="Chart (12)"/>
      <sheetName val="اجهزة الاشعة التشخيصية"/>
      <sheetName val="Chart (13)"/>
      <sheetName val="صيانة وقائية و اصلاحية ميديكال"/>
      <sheetName val="Chart (14)"/>
      <sheetName val="M EGYPT صيانة طبية "/>
      <sheetName val="Chart (15)"/>
      <sheetName val="-صيانة طبية جلوبال"/>
      <sheetName val="Chart (16)"/>
      <sheetName val="صيانة طبية servamed-"/>
      <sheetName val="Chart (17)"/>
      <sheetName val="Chart (18)"/>
      <sheetName val="صيانة طبية life care-"/>
      <sheetName val="صيانة اجهزة تخدير GE"/>
      <sheetName val="Chart (19)"/>
      <sheetName val="Tot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2">
          <cell r="D12" t="str">
            <v>النسبة</v>
          </cell>
        </row>
        <row r="13">
          <cell r="A13" t="str">
            <v>يونيو 2022</v>
          </cell>
          <cell r="D13">
            <v>0.78333333333333299</v>
          </cell>
        </row>
        <row r="14">
          <cell r="A14" t="str">
            <v>سبتمبر 2022</v>
          </cell>
          <cell r="D14">
            <v>0.79666666666666697</v>
          </cell>
        </row>
        <row r="15">
          <cell r="A15" t="str">
            <v>ديسمبر 2022</v>
          </cell>
          <cell r="D15">
            <v>0.87666666666666704</v>
          </cell>
        </row>
        <row r="16">
          <cell r="A16" t="str">
            <v>مارس 2023</v>
          </cell>
          <cell r="D16">
            <v>0.85</v>
          </cell>
        </row>
        <row r="17">
          <cell r="A17" t="str">
            <v>يونيو 2023</v>
          </cell>
          <cell r="D17">
            <v>0.85</v>
          </cell>
        </row>
        <row r="18">
          <cell r="A18" t="str">
            <v>سبتمبر 2023</v>
          </cell>
          <cell r="D18">
            <v>0.85</v>
          </cell>
        </row>
        <row r="19">
          <cell r="A19" t="str">
            <v>ديسمبر 2023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R33"/>
  <sheetViews>
    <sheetView topLeftCell="A7" zoomScale="90" zoomScaleNormal="90" workbookViewId="0">
      <selection activeCell="I27" sqref="I27"/>
    </sheetView>
  </sheetViews>
  <sheetFormatPr defaultColWidth="8.85546875" defaultRowHeight="15.75"/>
  <cols>
    <col min="1" max="1" width="7.140625" style="1" customWidth="1"/>
    <col min="2" max="2" width="74.140625" style="1" customWidth="1"/>
    <col min="3" max="12" width="10.42578125" style="1" customWidth="1"/>
    <col min="13" max="13" width="10" style="1" customWidth="1"/>
    <col min="14" max="14" width="8.85546875" style="1"/>
    <col min="15" max="16" width="10.42578125" style="1" customWidth="1"/>
    <col min="17" max="16384" width="8.85546875" style="1"/>
  </cols>
  <sheetData>
    <row r="1" spans="1:18">
      <c r="A1" s="25" t="s">
        <v>0</v>
      </c>
      <c r="B1" s="3"/>
      <c r="C1" s="3"/>
      <c r="D1" s="3"/>
      <c r="E1" s="3"/>
      <c r="F1" s="3"/>
      <c r="G1" s="3"/>
      <c r="H1" s="3"/>
      <c r="I1" s="3"/>
      <c r="J1" s="3"/>
      <c r="K1" s="3"/>
      <c r="M1" s="3" t="s">
        <v>1</v>
      </c>
      <c r="O1" s="3"/>
      <c r="P1" s="3"/>
    </row>
    <row r="2" spans="1:18">
      <c r="A2" s="25" t="s">
        <v>2</v>
      </c>
      <c r="I2" s="3"/>
      <c r="J2" s="3"/>
      <c r="K2" s="3"/>
      <c r="M2" s="3" t="s">
        <v>3</v>
      </c>
      <c r="O2" s="3"/>
      <c r="P2" s="3"/>
    </row>
    <row r="3" spans="1:18">
      <c r="A3" s="25" t="s">
        <v>4</v>
      </c>
      <c r="B3" s="3"/>
      <c r="C3" s="3"/>
      <c r="D3" s="3"/>
      <c r="E3" s="3"/>
      <c r="F3" s="3"/>
      <c r="G3" s="3"/>
      <c r="H3" s="3"/>
      <c r="I3" s="3"/>
      <c r="J3" s="3"/>
      <c r="K3" s="3"/>
      <c r="M3" s="3" t="s">
        <v>5</v>
      </c>
      <c r="O3" s="3"/>
      <c r="P3" s="3"/>
    </row>
    <row r="4" spans="1:18">
      <c r="B4" s="3"/>
      <c r="C4" s="3"/>
      <c r="D4" s="3"/>
      <c r="E4" s="3"/>
      <c r="F4" s="3"/>
      <c r="G4" s="3"/>
      <c r="H4" s="3"/>
      <c r="I4" s="3"/>
      <c r="J4" s="3"/>
      <c r="K4" s="3"/>
      <c r="L4" s="3"/>
      <c r="O4" s="3"/>
      <c r="P4" s="3"/>
    </row>
    <row r="5" spans="1:18">
      <c r="I5" s="42"/>
      <c r="J5" s="42"/>
      <c r="K5" s="42"/>
      <c r="L5" s="42"/>
      <c r="M5" s="42"/>
      <c r="P5" s="42"/>
      <c r="Q5" s="42"/>
    </row>
    <row r="6" spans="1:18" ht="30" customHeight="1">
      <c r="A6" s="106" t="s">
        <v>6</v>
      </c>
      <c r="B6" s="107"/>
      <c r="C6" s="107"/>
      <c r="D6" s="107"/>
      <c r="E6" s="107"/>
      <c r="F6" s="107"/>
      <c r="G6" s="107"/>
      <c r="H6" s="107"/>
      <c r="I6" s="107"/>
      <c r="J6" s="107"/>
      <c r="K6" s="107"/>
      <c r="L6" s="107"/>
      <c r="M6" s="107"/>
    </row>
    <row r="7" spans="1:18" ht="24" customHeight="1">
      <c r="A7" s="94"/>
      <c r="B7" s="43" t="s">
        <v>8</v>
      </c>
      <c r="C7" s="43" t="s">
        <v>177</v>
      </c>
      <c r="D7" s="43" t="s">
        <v>179</v>
      </c>
      <c r="E7" s="43" t="s">
        <v>178</v>
      </c>
      <c r="F7" s="43"/>
      <c r="G7" s="43"/>
      <c r="H7" s="43"/>
      <c r="I7" s="43"/>
      <c r="J7" s="43"/>
      <c r="K7" s="43"/>
      <c r="L7" s="43"/>
      <c r="M7" s="93"/>
      <c r="N7" s="48"/>
      <c r="O7" s="48"/>
      <c r="P7" s="48"/>
      <c r="Q7" s="48"/>
      <c r="R7" s="48"/>
    </row>
    <row r="8" spans="1:18" ht="24.95" customHeight="1">
      <c r="A8" s="94">
        <v>1</v>
      </c>
      <c r="B8" s="95" t="s">
        <v>206</v>
      </c>
      <c r="C8" s="93" t="s">
        <v>260</v>
      </c>
      <c r="D8" s="100" t="s">
        <v>260</v>
      </c>
      <c r="E8" s="93" t="s">
        <v>257</v>
      </c>
      <c r="F8" s="93"/>
      <c r="G8" s="93"/>
      <c r="H8" s="93"/>
      <c r="I8" s="93"/>
      <c r="J8" s="93"/>
      <c r="K8" s="93"/>
      <c r="L8" s="93"/>
      <c r="M8" s="93"/>
      <c r="N8" s="48"/>
      <c r="O8" s="48"/>
      <c r="P8" s="48"/>
      <c r="Q8" s="48"/>
      <c r="R8" s="48"/>
    </row>
    <row r="9" spans="1:18" ht="24.95" customHeight="1">
      <c r="A9" s="94">
        <v>2</v>
      </c>
      <c r="B9" s="95" t="s">
        <v>207</v>
      </c>
      <c r="C9" s="101" t="s">
        <v>257</v>
      </c>
      <c r="D9" s="101" t="s">
        <v>257</v>
      </c>
      <c r="E9" s="93" t="s">
        <v>260</v>
      </c>
      <c r="F9" s="93"/>
      <c r="G9" s="93"/>
      <c r="H9" s="93"/>
      <c r="I9" s="93"/>
      <c r="J9" s="93"/>
      <c r="K9" s="93"/>
      <c r="L9" s="93"/>
      <c r="M9" s="93"/>
      <c r="N9" s="48"/>
      <c r="O9" s="48"/>
      <c r="P9" s="48"/>
      <c r="Q9" s="48"/>
      <c r="R9" s="48"/>
    </row>
    <row r="10" spans="1:18" ht="24.95" customHeight="1">
      <c r="A10" s="94">
        <v>3</v>
      </c>
      <c r="B10" s="95" t="s">
        <v>208</v>
      </c>
      <c r="C10" s="93" t="s">
        <v>260</v>
      </c>
      <c r="D10" s="100" t="s">
        <v>260</v>
      </c>
      <c r="E10" s="93" t="s">
        <v>260</v>
      </c>
      <c r="F10" s="93"/>
      <c r="G10" s="93"/>
      <c r="H10" s="93"/>
      <c r="I10" s="93"/>
      <c r="J10" s="93"/>
      <c r="K10" s="93"/>
      <c r="L10" s="93"/>
      <c r="M10" s="93"/>
      <c r="N10" s="48"/>
      <c r="O10" s="48"/>
      <c r="P10" s="48"/>
      <c r="Q10" s="48"/>
      <c r="R10" s="48"/>
    </row>
    <row r="11" spans="1:18" ht="24.95" customHeight="1">
      <c r="A11" s="94">
        <v>4</v>
      </c>
      <c r="B11" s="95" t="s">
        <v>209</v>
      </c>
      <c r="C11" s="93" t="s">
        <v>260</v>
      </c>
      <c r="D11" s="100" t="s">
        <v>260</v>
      </c>
      <c r="E11" s="93" t="s">
        <v>260</v>
      </c>
      <c r="F11" s="93"/>
      <c r="G11" s="93"/>
      <c r="H11" s="93"/>
      <c r="I11" s="93"/>
      <c r="J11" s="93"/>
      <c r="K11" s="93"/>
      <c r="L11" s="93"/>
      <c r="M11" s="93"/>
      <c r="N11" s="48"/>
      <c r="O11" s="48"/>
      <c r="P11" s="48"/>
      <c r="Q11" s="48"/>
      <c r="R11" s="48"/>
    </row>
    <row r="12" spans="1:18" ht="24.95" customHeight="1">
      <c r="A12" s="94">
        <v>5</v>
      </c>
      <c r="B12" s="95" t="s">
        <v>210</v>
      </c>
      <c r="C12" s="93" t="s">
        <v>260</v>
      </c>
      <c r="D12" s="100" t="s">
        <v>260</v>
      </c>
      <c r="E12" s="93" t="s">
        <v>260</v>
      </c>
      <c r="F12" s="93"/>
      <c r="G12" s="93"/>
      <c r="H12" s="93"/>
      <c r="I12" s="93"/>
      <c r="J12" s="93"/>
      <c r="K12" s="93"/>
      <c r="L12" s="93"/>
      <c r="M12" s="93"/>
      <c r="N12" s="48"/>
      <c r="O12" s="48"/>
      <c r="P12" s="48"/>
      <c r="Q12" s="48"/>
      <c r="R12" s="48"/>
    </row>
    <row r="13" spans="1:18" ht="24.95" customHeight="1">
      <c r="A13" s="94">
        <v>6</v>
      </c>
      <c r="B13" s="95" t="s">
        <v>211</v>
      </c>
      <c r="C13" s="93" t="s">
        <v>260</v>
      </c>
      <c r="D13" s="100" t="s">
        <v>260</v>
      </c>
      <c r="E13" s="93" t="s">
        <v>260</v>
      </c>
      <c r="F13" s="93"/>
      <c r="G13" s="93"/>
      <c r="H13" s="93"/>
      <c r="I13" s="93"/>
      <c r="J13" s="93"/>
      <c r="K13" s="93"/>
      <c r="L13" s="93"/>
      <c r="M13" s="93"/>
      <c r="N13" s="48"/>
      <c r="O13" s="48"/>
      <c r="P13" s="48"/>
      <c r="Q13" s="48"/>
      <c r="R13" s="48"/>
    </row>
    <row r="14" spans="1:18" ht="24.95" customHeight="1">
      <c r="A14" s="94">
        <v>7</v>
      </c>
      <c r="B14" s="95" t="s">
        <v>212</v>
      </c>
      <c r="C14" s="93" t="s">
        <v>260</v>
      </c>
      <c r="D14" s="100" t="s">
        <v>260</v>
      </c>
      <c r="E14" s="93" t="s">
        <v>260</v>
      </c>
      <c r="F14" s="93"/>
      <c r="G14" s="93"/>
      <c r="H14" s="93"/>
      <c r="I14" s="93"/>
      <c r="J14" s="93"/>
      <c r="K14" s="93"/>
      <c r="L14" s="93"/>
      <c r="M14" s="93"/>
      <c r="N14" s="48"/>
      <c r="O14" s="48"/>
      <c r="P14" s="48"/>
      <c r="Q14" s="48"/>
      <c r="R14" s="48"/>
    </row>
    <row r="15" spans="1:18" ht="24.95" customHeight="1">
      <c r="A15" s="94">
        <v>8</v>
      </c>
      <c r="B15" s="95" t="s">
        <v>213</v>
      </c>
      <c r="C15" s="93" t="s">
        <v>260</v>
      </c>
      <c r="D15" s="100" t="s">
        <v>260</v>
      </c>
      <c r="E15" s="93" t="s">
        <v>260</v>
      </c>
      <c r="F15" s="93"/>
      <c r="G15" s="93"/>
      <c r="H15" s="93"/>
      <c r="I15" s="93"/>
      <c r="J15" s="93"/>
      <c r="K15" s="93"/>
      <c r="L15" s="93"/>
      <c r="M15" s="93"/>
      <c r="N15" s="48"/>
      <c r="O15" s="48"/>
      <c r="P15" s="48"/>
      <c r="Q15" s="48"/>
      <c r="R15" s="48"/>
    </row>
    <row r="16" spans="1:18" ht="24.95" customHeight="1">
      <c r="A16" s="94">
        <v>9</v>
      </c>
      <c r="B16" s="95" t="s">
        <v>214</v>
      </c>
      <c r="C16" s="93" t="s">
        <v>260</v>
      </c>
      <c r="D16" s="100" t="s">
        <v>260</v>
      </c>
      <c r="E16" s="93" t="s">
        <v>260</v>
      </c>
      <c r="F16" s="93"/>
      <c r="G16" s="93"/>
      <c r="H16" s="93"/>
      <c r="I16" s="93"/>
      <c r="J16" s="93"/>
      <c r="K16" s="93"/>
      <c r="L16" s="93"/>
      <c r="M16" s="93"/>
      <c r="N16" s="48"/>
      <c r="O16" s="48"/>
      <c r="P16" s="48"/>
      <c r="Q16" s="48"/>
      <c r="R16" s="48"/>
    </row>
    <row r="17" spans="1:18" ht="24.95" customHeight="1">
      <c r="A17" s="94">
        <v>10</v>
      </c>
      <c r="B17" s="95" t="s">
        <v>215</v>
      </c>
      <c r="C17" s="93" t="s">
        <v>260</v>
      </c>
      <c r="D17" s="100" t="s">
        <v>260</v>
      </c>
      <c r="E17" s="93" t="s">
        <v>260</v>
      </c>
      <c r="F17" s="93"/>
      <c r="G17" s="93"/>
      <c r="H17" s="93"/>
      <c r="I17" s="93"/>
      <c r="J17" s="93"/>
      <c r="K17" s="93"/>
      <c r="L17" s="93"/>
      <c r="M17" s="93"/>
      <c r="N17" s="48"/>
      <c r="O17" s="48"/>
      <c r="P17" s="48"/>
      <c r="Q17" s="48"/>
      <c r="R17" s="48"/>
    </row>
    <row r="18" spans="1:18" ht="24.95" customHeight="1">
      <c r="A18" s="94">
        <v>11</v>
      </c>
      <c r="B18" s="95" t="s">
        <v>216</v>
      </c>
      <c r="C18" s="102" t="s">
        <v>257</v>
      </c>
      <c r="D18" s="100" t="s">
        <v>260</v>
      </c>
      <c r="E18" s="93" t="s">
        <v>260</v>
      </c>
      <c r="F18" s="93"/>
      <c r="G18" s="93"/>
      <c r="H18" s="93"/>
      <c r="I18" s="93"/>
      <c r="J18" s="93"/>
      <c r="K18" s="93"/>
      <c r="L18" s="93"/>
      <c r="M18" s="93"/>
      <c r="N18" s="48"/>
      <c r="O18" s="48"/>
      <c r="P18" s="48"/>
      <c r="Q18" s="48"/>
      <c r="R18" s="48"/>
    </row>
    <row r="19" spans="1:18" ht="20.100000000000001" customHeight="1">
      <c r="A19" s="94">
        <v>12</v>
      </c>
      <c r="B19" s="96" t="s">
        <v>217</v>
      </c>
      <c r="C19" s="68">
        <v>1</v>
      </c>
      <c r="D19" s="100" t="s">
        <v>260</v>
      </c>
      <c r="E19" s="68">
        <v>1</v>
      </c>
      <c r="F19" s="68"/>
      <c r="G19" s="68"/>
      <c r="H19" s="68"/>
      <c r="I19" s="68"/>
      <c r="J19" s="68"/>
      <c r="K19" s="68"/>
      <c r="L19" s="68"/>
      <c r="M19" s="68"/>
      <c r="N19" s="48"/>
      <c r="O19" s="48"/>
      <c r="P19" s="48"/>
      <c r="Q19" s="48"/>
      <c r="R19" s="48"/>
    </row>
    <row r="20" spans="1:18" ht="20.100000000000001" customHeight="1">
      <c r="A20" s="94">
        <v>13</v>
      </c>
      <c r="B20" s="85" t="s">
        <v>258</v>
      </c>
      <c r="C20" s="68">
        <v>1</v>
      </c>
      <c r="D20" s="100" t="s">
        <v>260</v>
      </c>
      <c r="E20" s="68">
        <v>1</v>
      </c>
      <c r="F20" s="68"/>
      <c r="G20" s="68"/>
      <c r="H20" s="68"/>
      <c r="I20" s="68"/>
      <c r="J20" s="68"/>
      <c r="K20" s="68"/>
      <c r="L20" s="68"/>
      <c r="M20" s="68"/>
      <c r="N20" s="48"/>
      <c r="O20" s="48"/>
      <c r="P20" s="48"/>
      <c r="Q20" s="48"/>
      <c r="R20" s="48"/>
    </row>
    <row r="21" spans="1:18" ht="30.75" customHeight="1">
      <c r="A21" s="94">
        <v>14</v>
      </c>
      <c r="B21" s="96" t="s">
        <v>218</v>
      </c>
      <c r="C21" s="68">
        <v>1</v>
      </c>
      <c r="D21" s="100" t="s">
        <v>260</v>
      </c>
      <c r="E21" s="68">
        <v>1</v>
      </c>
      <c r="F21" s="85"/>
      <c r="G21" s="68"/>
      <c r="H21" s="68"/>
      <c r="I21" s="68"/>
      <c r="J21" s="68"/>
      <c r="K21" s="68"/>
      <c r="L21" s="68"/>
      <c r="M21" s="68"/>
      <c r="N21" s="48"/>
      <c r="O21" s="48"/>
      <c r="P21" s="48"/>
      <c r="Q21" s="48"/>
      <c r="R21" s="48"/>
    </row>
    <row r="22" spans="1:18" ht="20.100000000000001" customHeight="1">
      <c r="A22" s="94">
        <v>15</v>
      </c>
      <c r="B22" s="97" t="s">
        <v>219</v>
      </c>
      <c r="C22" s="68">
        <v>0</v>
      </c>
      <c r="D22" s="100" t="s">
        <v>260</v>
      </c>
      <c r="E22" s="68">
        <v>1</v>
      </c>
      <c r="F22" s="68"/>
      <c r="G22" s="68"/>
      <c r="H22" s="68"/>
      <c r="I22" s="68"/>
      <c r="J22" s="68"/>
      <c r="K22" s="68"/>
      <c r="L22" s="68"/>
      <c r="M22" s="68"/>
      <c r="N22" s="48"/>
      <c r="O22" s="48"/>
      <c r="P22" s="48"/>
      <c r="Q22" s="48"/>
      <c r="R22" s="48"/>
    </row>
    <row r="23" spans="1:18" ht="20.100000000000001" customHeight="1">
      <c r="A23" s="94">
        <v>16</v>
      </c>
      <c r="B23" s="98" t="s">
        <v>220</v>
      </c>
      <c r="C23" s="27">
        <v>1</v>
      </c>
      <c r="D23" s="100" t="s">
        <v>260</v>
      </c>
      <c r="E23" s="27">
        <v>1</v>
      </c>
      <c r="F23" s="27"/>
      <c r="G23" s="27"/>
      <c r="H23" s="27"/>
      <c r="I23" s="27"/>
      <c r="J23" s="27"/>
      <c r="K23" s="27"/>
      <c r="L23" s="27"/>
      <c r="M23" s="27"/>
    </row>
    <row r="24" spans="1:18" ht="20.100000000000001" customHeight="1">
      <c r="A24" s="94">
        <v>17</v>
      </c>
      <c r="B24" s="98" t="s">
        <v>221</v>
      </c>
      <c r="C24" s="27">
        <v>1</v>
      </c>
      <c r="D24" s="100" t="s">
        <v>260</v>
      </c>
      <c r="E24" s="27">
        <v>1</v>
      </c>
      <c r="F24" s="27"/>
      <c r="G24" s="27"/>
      <c r="H24" s="27"/>
      <c r="I24" s="27"/>
      <c r="J24" s="27"/>
      <c r="K24" s="27"/>
      <c r="L24" s="27"/>
      <c r="M24" s="27"/>
    </row>
    <row r="25" spans="1:18" ht="20.100000000000001" customHeight="1">
      <c r="A25" s="94">
        <v>18</v>
      </c>
      <c r="B25" s="98" t="s">
        <v>222</v>
      </c>
      <c r="C25" s="27">
        <v>1</v>
      </c>
      <c r="D25" s="100" t="s">
        <v>260</v>
      </c>
      <c r="E25" s="27">
        <v>1</v>
      </c>
      <c r="F25" s="27"/>
      <c r="G25" s="27"/>
      <c r="H25" s="27"/>
      <c r="I25" s="27"/>
      <c r="J25" s="27"/>
      <c r="K25" s="27"/>
      <c r="L25" s="27"/>
      <c r="M25" s="27"/>
    </row>
    <row r="26" spans="1:18" ht="20.100000000000001" customHeight="1">
      <c r="A26" s="94">
        <v>19</v>
      </c>
      <c r="B26" s="98" t="s">
        <v>223</v>
      </c>
      <c r="C26" s="27">
        <v>1</v>
      </c>
      <c r="D26" s="100" t="s">
        <v>260</v>
      </c>
      <c r="E26" s="27">
        <v>1</v>
      </c>
      <c r="F26" s="27"/>
      <c r="G26" s="27"/>
      <c r="H26" s="27"/>
      <c r="I26" s="27"/>
      <c r="J26" s="27"/>
      <c r="K26" s="27"/>
      <c r="L26" s="27"/>
      <c r="M26" s="27"/>
    </row>
    <row r="27" spans="1:18" ht="20.100000000000001" customHeight="1">
      <c r="A27" s="94">
        <v>20</v>
      </c>
      <c r="B27" s="98" t="s">
        <v>224</v>
      </c>
      <c r="C27" s="27">
        <v>1</v>
      </c>
      <c r="D27" s="101" t="s">
        <v>257</v>
      </c>
      <c r="E27" s="27">
        <v>0</v>
      </c>
      <c r="F27" s="27"/>
      <c r="G27" s="27"/>
      <c r="H27" s="27"/>
      <c r="I27" s="27"/>
      <c r="J27" s="27"/>
      <c r="K27" s="27"/>
      <c r="L27" s="27"/>
      <c r="M27" s="27"/>
    </row>
    <row r="28" spans="1:18" ht="20.100000000000001" customHeight="1">
      <c r="A28" s="94">
        <v>21</v>
      </c>
      <c r="B28" s="98" t="s">
        <v>225</v>
      </c>
      <c r="C28" s="27">
        <v>1</v>
      </c>
      <c r="D28" s="100" t="s">
        <v>260</v>
      </c>
      <c r="E28" s="27">
        <v>1</v>
      </c>
      <c r="F28" s="27"/>
      <c r="G28" s="27"/>
      <c r="H28" s="27"/>
      <c r="I28" s="27"/>
      <c r="J28" s="27"/>
      <c r="K28" s="27"/>
      <c r="L28" s="27"/>
      <c r="M28" s="27"/>
    </row>
    <row r="29" spans="1:18" ht="20.100000000000001" customHeight="1">
      <c r="A29" s="94">
        <v>22</v>
      </c>
      <c r="B29" s="98" t="s">
        <v>226</v>
      </c>
      <c r="C29" s="27">
        <v>1</v>
      </c>
      <c r="D29" s="100" t="s">
        <v>260</v>
      </c>
      <c r="E29" s="27">
        <v>1</v>
      </c>
      <c r="F29" s="27"/>
      <c r="G29" s="27"/>
      <c r="H29" s="27"/>
      <c r="I29" s="27"/>
      <c r="J29" s="27"/>
      <c r="K29" s="27"/>
      <c r="L29" s="27"/>
      <c r="M29" s="27"/>
    </row>
    <row r="30" spans="1:18" ht="20.100000000000001" customHeight="1">
      <c r="A30" s="94">
        <v>23</v>
      </c>
      <c r="B30" s="98" t="s">
        <v>227</v>
      </c>
      <c r="C30" s="27">
        <v>1</v>
      </c>
      <c r="D30" s="100" t="s">
        <v>260</v>
      </c>
      <c r="E30" s="27">
        <v>1</v>
      </c>
      <c r="F30" s="27"/>
      <c r="G30" s="27"/>
      <c r="H30" s="27"/>
      <c r="I30" s="27"/>
      <c r="J30" s="27"/>
      <c r="K30" s="27"/>
      <c r="L30" s="27"/>
      <c r="M30" s="27"/>
    </row>
    <row r="31" spans="1:18" ht="20.100000000000001" customHeight="1">
      <c r="A31" s="94">
        <v>24</v>
      </c>
      <c r="B31" s="99" t="s">
        <v>228</v>
      </c>
      <c r="C31" s="27">
        <v>1</v>
      </c>
      <c r="D31" s="100" t="s">
        <v>260</v>
      </c>
      <c r="E31" s="27">
        <v>1</v>
      </c>
      <c r="F31" s="27"/>
      <c r="G31" s="27"/>
      <c r="H31" s="27"/>
      <c r="I31" s="27"/>
      <c r="J31" s="27"/>
      <c r="K31" s="27"/>
      <c r="L31" s="27"/>
      <c r="M31" s="27"/>
    </row>
    <row r="32" spans="1:18" ht="20.100000000000001" customHeight="1">
      <c r="A32" s="94">
        <v>25</v>
      </c>
      <c r="B32" s="98" t="s">
        <v>229</v>
      </c>
      <c r="C32" s="27">
        <v>1</v>
      </c>
      <c r="D32" s="100" t="s">
        <v>260</v>
      </c>
      <c r="E32" s="27">
        <v>1</v>
      </c>
      <c r="F32" s="27"/>
      <c r="G32" s="27"/>
      <c r="H32" s="27"/>
      <c r="I32" s="27"/>
      <c r="J32" s="27"/>
      <c r="K32" s="27"/>
      <c r="L32" s="27"/>
      <c r="M32" s="27"/>
    </row>
    <row r="33" spans="1:13" ht="20.100000000000001" customHeight="1">
      <c r="A33" s="108" t="s">
        <v>10</v>
      </c>
      <c r="B33" s="108"/>
      <c r="C33" s="46">
        <v>0.88</v>
      </c>
      <c r="D33" s="46">
        <v>0.92</v>
      </c>
      <c r="E33" s="46">
        <v>0.96</v>
      </c>
      <c r="F33" s="46" t="str">
        <f t="shared" ref="F33:M33" si="0">IFERROR(AVERAGE(F19:F32),"-")</f>
        <v>-</v>
      </c>
      <c r="G33" s="46" t="str">
        <f t="shared" si="0"/>
        <v>-</v>
      </c>
      <c r="H33" s="46" t="str">
        <f t="shared" si="0"/>
        <v>-</v>
      </c>
      <c r="I33" s="46" t="str">
        <f t="shared" si="0"/>
        <v>-</v>
      </c>
      <c r="J33" s="46" t="str">
        <f t="shared" si="0"/>
        <v>-</v>
      </c>
      <c r="K33" s="46" t="str">
        <f t="shared" si="0"/>
        <v>-</v>
      </c>
      <c r="L33" s="46" t="str">
        <f t="shared" si="0"/>
        <v>-</v>
      </c>
      <c r="M33" s="46" t="str">
        <f t="shared" si="0"/>
        <v>-</v>
      </c>
    </row>
  </sheetData>
  <mergeCells count="2">
    <mergeCell ref="A6:M6"/>
    <mergeCell ref="A33:B33"/>
  </mergeCells>
  <printOptions horizontalCentered="1"/>
  <pageMargins left="0.70866141732283505" right="0.70866141732283505" top="0.74803149606299202" bottom="0.74803149606299202" header="0.31496062992126" footer="0.31496062992126"/>
  <pageSetup paperSize="9" scale="98" fitToWidth="0"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8D481692-F941-48BD-BF80-F8C0E1B6EF34}">
            <xm:f>NOT(ISERROR(SEARCH(0,C19)))</xm:f>
            <xm:f>0</xm:f>
            <x14:dxf>
              <font>
                <color theme="0"/>
              </font>
              <fill>
                <patternFill patternType="solid">
                  <bgColor rgb="FFC00000"/>
                </patternFill>
              </fill>
            </x14:dxf>
          </x14:cfRule>
          <xm:sqref>C19:C32 E19:M32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M81"/>
  <sheetViews>
    <sheetView topLeftCell="A4" zoomScale="83" zoomScaleNormal="83" workbookViewId="0">
      <selection activeCell="B27" sqref="B27:D27"/>
    </sheetView>
  </sheetViews>
  <sheetFormatPr defaultColWidth="8.85546875" defaultRowHeight="15.75"/>
  <cols>
    <col min="1" max="1" width="11.42578125" style="1" customWidth="1"/>
    <col min="2" max="3" width="14.42578125" style="1" customWidth="1"/>
    <col min="4" max="4" width="22"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4</v>
      </c>
      <c r="K3" s="3"/>
      <c r="L3" s="3"/>
      <c r="M3" s="3" t="s">
        <v>11</v>
      </c>
    </row>
    <row r="4" spans="1:13">
      <c r="A4" s="3"/>
      <c r="M4" s="3"/>
    </row>
    <row r="6" spans="1:13" ht="32.1" customHeight="1">
      <c r="A6" s="107" t="s">
        <v>6</v>
      </c>
      <c r="B6" s="107"/>
      <c r="C6" s="107"/>
      <c r="D6" s="107"/>
      <c r="E6" s="107"/>
      <c r="F6" s="107"/>
      <c r="G6" s="107"/>
      <c r="H6" s="107"/>
      <c r="I6" s="107"/>
      <c r="J6" s="107"/>
      <c r="K6" s="107"/>
      <c r="L6" s="107"/>
      <c r="M6" s="107"/>
    </row>
    <row r="7" spans="1:13">
      <c r="A7" s="84"/>
      <c r="B7" s="84"/>
      <c r="C7" s="84"/>
      <c r="D7" s="84"/>
      <c r="E7" s="84"/>
    </row>
    <row r="8" spans="1:13">
      <c r="A8" s="79" t="s">
        <v>12</v>
      </c>
      <c r="B8" s="123" t="s">
        <v>13</v>
      </c>
      <c r="C8" s="123"/>
      <c r="D8" s="123"/>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2" spans="1:13">
      <c r="A12" s="29" t="s">
        <v>17</v>
      </c>
      <c r="B12" s="29" t="s">
        <v>12</v>
      </c>
      <c r="C12" s="29" t="s">
        <v>14</v>
      </c>
      <c r="D12" s="29" t="s">
        <v>18</v>
      </c>
    </row>
    <row r="13" spans="1:13">
      <c r="A13" s="49" t="inlineStr">
        <is>
          <t>3/2026</t>
        </is>
      </c>
      <c r="B13" s="58">
        <f>SUMPRODUCT(--('النظافة'!$C$8:$C$32&amp;""="1"))</f>
        <v>22</v>
      </c>
      <c r="C13" s="58">
        <f>SUMPRODUCT(--('النظافة'!$C$8:$C$32&amp;""="1"))+SUMPRODUCT(--('النظافة'!$C$8:$C$32&amp;""="0"))</f>
        <v>25</v>
      </c>
      <c r="D13" s="59">
        <f>IFERROR(B13/C13,"")</f>
        <v>0.88</v>
      </c>
    </row>
    <row r="14" spans="1:13">
      <c r="A14" s="49" t="inlineStr">
        <is>
          <t>6/2026</t>
        </is>
      </c>
      <c r="B14" s="58">
        <f>SUMPRODUCT(--('النظافة'!$D$8:$D$32&amp;""="1"))</f>
        <v>23</v>
      </c>
      <c r="C14" s="58">
        <f>SUMPRODUCT(--('النظافة'!$D$8:$D$32&amp;""="1"))+SUMPRODUCT(--('النظافة'!$D$8:$D$32&amp;""="0"))</f>
        <v>25</v>
      </c>
      <c r="D14" s="59">
        <f>IFERROR(B14/C14,"")</f>
        <v>0.92</v>
      </c>
    </row>
    <row r="15" spans="1:13">
      <c r="A15" s="49" t="inlineStr">
        <is>
          <t>9/2026</t>
        </is>
      </c>
      <c r="B15" s="58">
        <f>SUMPRODUCT(--('النظافة'!$E$8:$E$32&amp;""="1"))</f>
        <v>23</v>
      </c>
      <c r="C15" s="58">
        <f>SUMPRODUCT(--('النظافة'!$E$8:$E$32&amp;""="1"))+SUMPRODUCT(--('النظافة'!$E$8:$E$32&amp;""="0"))</f>
        <v>25</v>
      </c>
      <c r="D15" s="59">
        <f>IFERROR(B15/C15,"")</f>
        <v>0.92</v>
      </c>
    </row>
    <row r="16" spans="1:13">
      <c r="A16" s="30"/>
      <c r="B16" s="58"/>
      <c r="C16" s="58"/>
      <c r="D16" s="59" t="str">
        <f>IFERROR(B16/C16,"")</f>
        <v/>
      </c>
    </row>
    <row r="17" spans="1:13">
      <c r="A17" s="30"/>
      <c r="B17" s="58"/>
      <c r="C17" s="58"/>
      <c r="D17" s="59" t="str">
        <f>IFERROR(B17/C17,"")</f>
        <v/>
      </c>
    </row>
    <row r="18" spans="1:13">
      <c r="A18" s="30"/>
      <c r="B18" s="58"/>
      <c r="C18" s="58"/>
      <c r="D18" s="59" t="str">
        <f>IFERROR(B18/C18,"")</f>
        <v/>
      </c>
    </row>
    <row r="19" spans="1:13">
      <c r="A19" s="30"/>
      <c r="B19" s="58"/>
      <c r="C19" s="58"/>
      <c r="D19" s="59" t="str">
        <f>IFERROR(B19/C19,"")</f>
        <v/>
      </c>
    </row>
    <row r="20" spans="1:13">
      <c r="A20" s="49"/>
      <c r="B20" s="58"/>
      <c r="C20" s="58"/>
      <c r="D20" s="59" t="str">
        <f>IFERROR(B20/C20,"")</f>
        <v/>
      </c>
    </row>
    <row r="21" spans="1:13">
      <c r="A21" s="49"/>
      <c r="B21" s="58"/>
      <c r="C21" s="58"/>
      <c r="D21" s="59" t="str">
        <f>IFERROR(B21/C21,"")</f>
        <v/>
      </c>
    </row>
    <row r="22" spans="1:13">
      <c r="A22" s="49"/>
      <c r="B22" s="58"/>
      <c r="C22" s="58"/>
      <c r="D22" s="59" t="str">
        <f>IFERROR(B22/C22,"")</f>
        <v/>
      </c>
    </row>
    <row r="23" spans="1:13">
      <c r="A23" s="49"/>
      <c r="B23" s="58"/>
      <c r="C23" s="58"/>
      <c r="D23" s="59" t="str">
        <f>IFERROR(B23/C23,"")</f>
        <v/>
      </c>
    </row>
    <row r="24" spans="1:13">
      <c r="A24" s="126" t="s">
        <v>19</v>
      </c>
      <c r="B24" s="127"/>
      <c r="C24" s="128"/>
      <c r="D24" s="35">
        <f>AVERAGE(D13:D23)</f>
        <v>0.9066666666666667</v>
      </c>
    </row>
    <row r="26" spans="1:13" ht="23.45" customHeight="1">
      <c r="A26" s="36" t="s">
        <v>17</v>
      </c>
      <c r="B26" s="129" t="s">
        <v>20</v>
      </c>
      <c r="C26" s="129"/>
      <c r="D26" s="129"/>
      <c r="E26" s="130" t="s">
        <v>21</v>
      </c>
      <c r="F26" s="131"/>
      <c r="G26" s="131"/>
      <c r="H26" s="131"/>
      <c r="I26" s="131"/>
      <c r="J26" s="132"/>
      <c r="K26" s="129" t="s">
        <v>22</v>
      </c>
      <c r="L26" s="129"/>
      <c r="M26" s="36" t="s">
        <v>23</v>
      </c>
    </row>
    <row r="27" spans="1:13" ht="38.450000000000003" customHeight="1">
      <c r="A27" s="113"/>
      <c r="B27" s="109"/>
      <c r="C27" s="109"/>
      <c r="D27" s="109"/>
      <c r="E27" s="110"/>
      <c r="F27" s="111"/>
      <c r="G27" s="111"/>
      <c r="H27" s="111"/>
      <c r="I27" s="111"/>
      <c r="J27" s="112"/>
      <c r="K27" s="109"/>
      <c r="L27" s="109"/>
      <c r="M27" s="78"/>
    </row>
    <row r="28" spans="1:13" ht="41.45" customHeight="1">
      <c r="A28" s="114"/>
      <c r="B28" s="109"/>
      <c r="C28" s="109"/>
      <c r="D28" s="109"/>
      <c r="E28" s="110"/>
      <c r="F28" s="111"/>
      <c r="G28" s="111"/>
      <c r="H28" s="111"/>
      <c r="I28" s="111"/>
      <c r="J28" s="112"/>
      <c r="K28" s="109"/>
      <c r="L28" s="109"/>
      <c r="M28" s="78"/>
    </row>
    <row r="29" spans="1:13" ht="44.1" customHeight="1">
      <c r="A29" s="114"/>
      <c r="B29" s="109"/>
      <c r="C29" s="109"/>
      <c r="D29" s="109"/>
      <c r="E29" s="110"/>
      <c r="F29" s="111"/>
      <c r="G29" s="111"/>
      <c r="H29" s="111"/>
      <c r="I29" s="111"/>
      <c r="J29" s="112"/>
      <c r="K29" s="109"/>
      <c r="L29" s="109"/>
      <c r="M29" s="78"/>
    </row>
    <row r="30" spans="1:13" ht="39" customHeight="1">
      <c r="A30" s="114"/>
      <c r="B30" s="109"/>
      <c r="C30" s="109"/>
      <c r="D30" s="109"/>
      <c r="E30" s="110"/>
      <c r="F30" s="111"/>
      <c r="G30" s="111"/>
      <c r="H30" s="111"/>
      <c r="I30" s="111"/>
      <c r="J30" s="112"/>
      <c r="K30" s="109"/>
      <c r="L30" s="109"/>
      <c r="M30" s="78"/>
    </row>
    <row r="31" spans="1:13" ht="44.45" customHeight="1">
      <c r="A31" s="115"/>
      <c r="B31" s="109"/>
      <c r="C31" s="109"/>
      <c r="D31" s="109"/>
      <c r="E31" s="110"/>
      <c r="F31" s="111"/>
      <c r="G31" s="111"/>
      <c r="H31" s="111"/>
      <c r="I31" s="111"/>
      <c r="J31" s="112"/>
      <c r="K31" s="109"/>
      <c r="L31" s="109"/>
      <c r="M31" s="78"/>
    </row>
    <row r="32" spans="1:13" ht="44.45" customHeight="1">
      <c r="A32" s="116"/>
      <c r="B32" s="119"/>
      <c r="C32" s="119"/>
      <c r="D32" s="119"/>
      <c r="E32" s="120"/>
      <c r="F32" s="121"/>
      <c r="G32" s="121"/>
      <c r="H32" s="121"/>
      <c r="I32" s="121"/>
      <c r="J32" s="122"/>
      <c r="K32" s="119"/>
      <c r="L32" s="119"/>
      <c r="M32" s="38"/>
    </row>
    <row r="33" spans="1:13" ht="44.45" customHeight="1">
      <c r="A33" s="117"/>
      <c r="B33" s="119"/>
      <c r="C33" s="119"/>
      <c r="D33" s="119"/>
      <c r="E33" s="120"/>
      <c r="F33" s="121"/>
      <c r="G33" s="121"/>
      <c r="H33" s="121"/>
      <c r="I33" s="121"/>
      <c r="J33" s="122"/>
      <c r="K33" s="119"/>
      <c r="L33" s="119"/>
      <c r="M33" s="38"/>
    </row>
    <row r="34" spans="1:13" ht="30.75" customHeight="1">
      <c r="A34" s="117"/>
      <c r="B34" s="119"/>
      <c r="C34" s="119"/>
      <c r="D34" s="119"/>
      <c r="E34" s="120"/>
      <c r="F34" s="121"/>
      <c r="G34" s="121"/>
      <c r="H34" s="121"/>
      <c r="I34" s="121"/>
      <c r="J34" s="122"/>
      <c r="K34" s="119"/>
      <c r="L34" s="119"/>
      <c r="M34" s="38"/>
    </row>
    <row r="35" spans="1:13" ht="30.75" customHeight="1">
      <c r="A35" s="117"/>
      <c r="B35" s="119"/>
      <c r="C35" s="119"/>
      <c r="D35" s="119"/>
      <c r="E35" s="120"/>
      <c r="F35" s="121"/>
      <c r="G35" s="121"/>
      <c r="H35" s="121"/>
      <c r="I35" s="121"/>
      <c r="J35" s="122"/>
      <c r="K35" s="119"/>
      <c r="L35" s="119"/>
      <c r="M35" s="38"/>
    </row>
    <row r="36" spans="1:13" ht="30" customHeight="1">
      <c r="A36" s="118"/>
      <c r="B36" s="119"/>
      <c r="C36" s="119"/>
      <c r="D36" s="119"/>
      <c r="E36" s="120"/>
      <c r="F36" s="121"/>
      <c r="G36" s="121"/>
      <c r="H36" s="121"/>
      <c r="I36" s="121"/>
      <c r="J36" s="122"/>
      <c r="K36" s="119"/>
      <c r="L36" s="119"/>
      <c r="M36" s="38"/>
    </row>
    <row r="37" spans="1:13" ht="30.75" customHeight="1">
      <c r="A37" s="113"/>
      <c r="B37" s="109"/>
      <c r="C37" s="109"/>
      <c r="D37" s="109"/>
      <c r="E37" s="110"/>
      <c r="F37" s="111"/>
      <c r="G37" s="111"/>
      <c r="H37" s="111"/>
      <c r="I37" s="111"/>
      <c r="J37" s="112"/>
      <c r="K37" s="109"/>
      <c r="L37" s="109"/>
      <c r="M37" s="78"/>
    </row>
    <row r="38" spans="1:13" ht="36.75" customHeight="1">
      <c r="A38" s="114"/>
      <c r="B38" s="109"/>
      <c r="C38" s="109"/>
      <c r="D38" s="109"/>
      <c r="E38" s="110"/>
      <c r="F38" s="111"/>
      <c r="G38" s="111"/>
      <c r="H38" s="111"/>
      <c r="I38" s="111"/>
      <c r="J38" s="112"/>
      <c r="K38" s="109"/>
      <c r="L38" s="109"/>
      <c r="M38" s="78"/>
    </row>
    <row r="39" spans="1:13" ht="31.5" customHeight="1">
      <c r="A39" s="114"/>
      <c r="B39" s="109"/>
      <c r="C39" s="109"/>
      <c r="D39" s="109"/>
      <c r="E39" s="110"/>
      <c r="F39" s="111"/>
      <c r="G39" s="111"/>
      <c r="H39" s="111"/>
      <c r="I39" s="111"/>
      <c r="J39" s="112"/>
      <c r="K39" s="109"/>
      <c r="L39" s="109"/>
      <c r="M39" s="78"/>
    </row>
    <row r="40" spans="1:13" ht="38.25" customHeight="1">
      <c r="A40" s="114"/>
      <c r="B40" s="109"/>
      <c r="C40" s="109"/>
      <c r="D40" s="109"/>
      <c r="E40" s="110"/>
      <c r="F40" s="111"/>
      <c r="G40" s="111"/>
      <c r="H40" s="111"/>
      <c r="I40" s="111"/>
      <c r="J40" s="112"/>
      <c r="K40" s="109"/>
      <c r="L40" s="109"/>
      <c r="M40" s="78"/>
    </row>
    <row r="41" spans="1:13" ht="30.6" customHeight="1">
      <c r="A41" s="115"/>
      <c r="B41" s="109"/>
      <c r="C41" s="109"/>
      <c r="D41" s="109"/>
      <c r="E41" s="110"/>
      <c r="F41" s="111"/>
      <c r="G41" s="111"/>
      <c r="H41" s="111"/>
      <c r="I41" s="111"/>
      <c r="J41" s="112"/>
      <c r="K41" s="109"/>
      <c r="L41" s="109"/>
      <c r="M41" s="78"/>
    </row>
    <row r="42" spans="1:13" ht="28.5" customHeight="1">
      <c r="A42" s="116"/>
      <c r="B42" s="119"/>
      <c r="C42" s="119"/>
      <c r="D42" s="119"/>
      <c r="E42" s="120"/>
      <c r="F42" s="121"/>
      <c r="G42" s="121"/>
      <c r="H42" s="121"/>
      <c r="I42" s="121"/>
      <c r="J42" s="122"/>
      <c r="K42" s="119"/>
      <c r="L42" s="119"/>
      <c r="M42" s="38"/>
    </row>
    <row r="43" spans="1:13" ht="27" customHeight="1">
      <c r="A43" s="117"/>
      <c r="B43" s="119"/>
      <c r="C43" s="119"/>
      <c r="D43" s="119"/>
      <c r="E43" s="120"/>
      <c r="F43" s="121"/>
      <c r="G43" s="121"/>
      <c r="H43" s="121"/>
      <c r="I43" s="121"/>
      <c r="J43" s="122"/>
      <c r="K43" s="119"/>
      <c r="L43" s="119"/>
      <c r="M43" s="38"/>
    </row>
    <row r="44" spans="1:13" ht="29.25" customHeight="1">
      <c r="A44" s="117"/>
      <c r="B44" s="119"/>
      <c r="C44" s="119"/>
      <c r="D44" s="119"/>
      <c r="E44" s="120"/>
      <c r="F44" s="121"/>
      <c r="G44" s="121"/>
      <c r="H44" s="121"/>
      <c r="I44" s="121"/>
      <c r="J44" s="122"/>
      <c r="K44" s="119"/>
      <c r="L44" s="119"/>
      <c r="M44" s="38"/>
    </row>
    <row r="45" spans="1:13" ht="33" customHeight="1">
      <c r="A45" s="117"/>
      <c r="B45" s="119"/>
      <c r="C45" s="119"/>
      <c r="D45" s="119"/>
      <c r="E45" s="120"/>
      <c r="F45" s="121"/>
      <c r="G45" s="121"/>
      <c r="H45" s="121"/>
      <c r="I45" s="121"/>
      <c r="J45" s="122"/>
      <c r="K45" s="119"/>
      <c r="L45" s="119"/>
      <c r="M45" s="38"/>
    </row>
    <row r="46" spans="1:13" ht="31.5" customHeight="1">
      <c r="A46" s="118"/>
      <c r="B46" s="119"/>
      <c r="C46" s="119"/>
      <c r="D46" s="119"/>
      <c r="E46" s="120"/>
      <c r="F46" s="121"/>
      <c r="G46" s="121"/>
      <c r="H46" s="121"/>
      <c r="I46" s="121"/>
      <c r="J46" s="122"/>
      <c r="K46" s="119"/>
      <c r="L46" s="119"/>
      <c r="M46" s="38"/>
    </row>
    <row r="47" spans="1:13" ht="31.5" customHeight="1">
      <c r="A47" s="113"/>
      <c r="B47" s="109"/>
      <c r="C47" s="109"/>
      <c r="D47" s="109"/>
      <c r="E47" s="110"/>
      <c r="F47" s="111"/>
      <c r="G47" s="111"/>
      <c r="H47" s="111"/>
      <c r="I47" s="111"/>
      <c r="J47" s="112"/>
      <c r="K47" s="109"/>
      <c r="L47" s="109"/>
      <c r="M47" s="78"/>
    </row>
    <row r="48" spans="1:13" ht="30.75" customHeight="1">
      <c r="A48" s="114"/>
      <c r="B48" s="109"/>
      <c r="C48" s="109"/>
      <c r="D48" s="109"/>
      <c r="E48" s="110"/>
      <c r="F48" s="111"/>
      <c r="G48" s="111"/>
      <c r="H48" s="111"/>
      <c r="I48" s="111"/>
      <c r="J48" s="112"/>
      <c r="K48" s="110"/>
      <c r="L48" s="112"/>
      <c r="M48" s="78"/>
    </row>
    <row r="49" spans="1:13" ht="26.1" customHeight="1">
      <c r="A49" s="114"/>
      <c r="B49" s="109"/>
      <c r="C49" s="109"/>
      <c r="D49" s="109"/>
      <c r="E49" s="110"/>
      <c r="F49" s="111"/>
      <c r="G49" s="111"/>
      <c r="H49" s="111"/>
      <c r="I49" s="111"/>
      <c r="J49" s="112"/>
      <c r="K49" s="109"/>
      <c r="L49" s="109"/>
      <c r="M49" s="78"/>
    </row>
    <row r="50" spans="1:13" ht="30" customHeight="1">
      <c r="A50" s="114"/>
      <c r="B50" s="109"/>
      <c r="C50" s="109"/>
      <c r="D50" s="109"/>
      <c r="E50" s="110"/>
      <c r="F50" s="111"/>
      <c r="G50" s="111"/>
      <c r="H50" s="111"/>
      <c r="I50" s="111"/>
      <c r="J50" s="112"/>
      <c r="K50" s="109"/>
      <c r="L50" s="109"/>
      <c r="M50" s="78"/>
    </row>
    <row r="51" spans="1:13" ht="27.95" customHeight="1">
      <c r="A51" s="115"/>
      <c r="B51" s="109"/>
      <c r="C51" s="109"/>
      <c r="D51" s="109"/>
      <c r="E51" s="110"/>
      <c r="F51" s="111"/>
      <c r="G51" s="111"/>
      <c r="H51" s="111"/>
      <c r="I51" s="111"/>
      <c r="J51" s="112"/>
      <c r="K51" s="109"/>
      <c r="L51" s="109"/>
      <c r="M51" s="78"/>
    </row>
    <row r="52" spans="1:13" ht="28.5" customHeight="1">
      <c r="A52" s="116"/>
      <c r="B52" s="119"/>
      <c r="C52" s="119"/>
      <c r="D52" s="119"/>
      <c r="E52" s="120"/>
      <c r="F52" s="121"/>
      <c r="G52" s="121"/>
      <c r="H52" s="121"/>
      <c r="I52" s="121"/>
      <c r="J52" s="122"/>
      <c r="K52" s="119"/>
      <c r="L52" s="119"/>
      <c r="M52" s="38"/>
    </row>
    <row r="53" spans="1:13" ht="27" customHeight="1">
      <c r="A53" s="117"/>
      <c r="B53" s="119"/>
      <c r="C53" s="119"/>
      <c r="D53" s="119"/>
      <c r="E53" s="120"/>
      <c r="F53" s="121"/>
      <c r="G53" s="121"/>
      <c r="H53" s="121"/>
      <c r="I53" s="121"/>
      <c r="J53" s="122"/>
      <c r="K53" s="119"/>
      <c r="L53" s="119"/>
      <c r="M53" s="38"/>
    </row>
    <row r="54" spans="1:13" ht="29.25" customHeight="1">
      <c r="A54" s="117"/>
      <c r="B54" s="119"/>
      <c r="C54" s="119"/>
      <c r="D54" s="119"/>
      <c r="E54" s="120"/>
      <c r="F54" s="121"/>
      <c r="G54" s="121"/>
      <c r="H54" s="121"/>
      <c r="I54" s="121"/>
      <c r="J54" s="122"/>
      <c r="K54" s="119"/>
      <c r="L54" s="119"/>
      <c r="M54" s="38"/>
    </row>
    <row r="55" spans="1:13" ht="33" customHeight="1">
      <c r="A55" s="117"/>
      <c r="B55" s="119"/>
      <c r="C55" s="119"/>
      <c r="D55" s="119"/>
      <c r="E55" s="120"/>
      <c r="F55" s="121"/>
      <c r="G55" s="121"/>
      <c r="H55" s="121"/>
      <c r="I55" s="121"/>
      <c r="J55" s="122"/>
      <c r="K55" s="119"/>
      <c r="L55" s="119"/>
      <c r="M55" s="38"/>
    </row>
    <row r="56" spans="1:13" ht="15.6" customHeight="1">
      <c r="A56" s="118"/>
      <c r="B56" s="119"/>
      <c r="C56" s="119"/>
      <c r="D56" s="119"/>
      <c r="E56" s="120"/>
      <c r="F56" s="121"/>
      <c r="G56" s="121"/>
      <c r="H56" s="121"/>
      <c r="I56" s="121"/>
      <c r="J56" s="122"/>
      <c r="K56" s="119"/>
      <c r="L56" s="119"/>
      <c r="M56" s="38"/>
    </row>
    <row r="57" spans="1:13" ht="30.75" customHeight="1">
      <c r="A57" s="113"/>
      <c r="B57" s="109"/>
      <c r="C57" s="109"/>
      <c r="D57" s="109"/>
      <c r="E57" s="110"/>
      <c r="F57" s="111"/>
      <c r="G57" s="111"/>
      <c r="H57" s="111"/>
      <c r="I57" s="111"/>
      <c r="J57" s="112"/>
      <c r="K57" s="109"/>
      <c r="L57" s="109"/>
      <c r="M57" s="78"/>
    </row>
    <row r="58" spans="1:13" ht="36.75" customHeight="1">
      <c r="A58" s="114"/>
      <c r="B58" s="109"/>
      <c r="C58" s="109"/>
      <c r="D58" s="109"/>
      <c r="E58" s="110"/>
      <c r="F58" s="111"/>
      <c r="G58" s="111"/>
      <c r="H58" s="111"/>
      <c r="I58" s="111"/>
      <c r="J58" s="112"/>
      <c r="K58" s="109"/>
      <c r="L58" s="109"/>
      <c r="M58" s="78"/>
    </row>
    <row r="59" spans="1:13" ht="31.5" customHeight="1">
      <c r="A59" s="114"/>
      <c r="B59" s="109"/>
      <c r="C59" s="109"/>
      <c r="D59" s="109"/>
      <c r="E59" s="110"/>
      <c r="F59" s="111"/>
      <c r="G59" s="111"/>
      <c r="H59" s="111"/>
      <c r="I59" s="111"/>
      <c r="J59" s="112"/>
      <c r="K59" s="109"/>
      <c r="L59" s="109"/>
      <c r="M59" s="78"/>
    </row>
    <row r="60" spans="1:13" ht="38.25" customHeight="1">
      <c r="A60" s="114"/>
      <c r="B60" s="109"/>
      <c r="C60" s="109"/>
      <c r="D60" s="109"/>
      <c r="E60" s="110"/>
      <c r="F60" s="111"/>
      <c r="G60" s="111"/>
      <c r="H60" s="111"/>
      <c r="I60" s="111"/>
      <c r="J60" s="112"/>
      <c r="K60" s="109"/>
      <c r="L60" s="109"/>
      <c r="M60" s="78"/>
    </row>
    <row r="61" spans="1:13" ht="30.6" customHeight="1">
      <c r="A61" s="115"/>
      <c r="B61" s="109"/>
      <c r="C61" s="109"/>
      <c r="D61" s="109"/>
      <c r="E61" s="110"/>
      <c r="F61" s="111"/>
      <c r="G61" s="111"/>
      <c r="H61" s="111"/>
      <c r="I61" s="111"/>
      <c r="J61" s="112"/>
      <c r="K61" s="109"/>
      <c r="L61" s="109"/>
      <c r="M61" s="78"/>
    </row>
    <row r="62" spans="1:13" ht="28.5" customHeight="1">
      <c r="A62" s="116"/>
      <c r="B62" s="119"/>
      <c r="C62" s="119"/>
      <c r="D62" s="119"/>
      <c r="E62" s="120"/>
      <c r="F62" s="121"/>
      <c r="G62" s="121"/>
      <c r="H62" s="121"/>
      <c r="I62" s="121"/>
      <c r="J62" s="122"/>
      <c r="K62" s="119"/>
      <c r="L62" s="119"/>
      <c r="M62" s="38"/>
    </row>
    <row r="63" spans="1:13" ht="27" customHeight="1">
      <c r="A63" s="117"/>
      <c r="B63" s="119"/>
      <c r="C63" s="119"/>
      <c r="D63" s="119"/>
      <c r="E63" s="120"/>
      <c r="F63" s="121"/>
      <c r="G63" s="121"/>
      <c r="H63" s="121"/>
      <c r="I63" s="121"/>
      <c r="J63" s="122"/>
      <c r="K63" s="119"/>
      <c r="L63" s="119"/>
      <c r="M63" s="38"/>
    </row>
    <row r="64" spans="1:13" ht="29.25" customHeight="1">
      <c r="A64" s="117"/>
      <c r="B64" s="119"/>
      <c r="C64" s="119"/>
      <c r="D64" s="119"/>
      <c r="E64" s="120"/>
      <c r="F64" s="121"/>
      <c r="G64" s="121"/>
      <c r="H64" s="121"/>
      <c r="I64" s="121"/>
      <c r="J64" s="122"/>
      <c r="K64" s="119"/>
      <c r="L64" s="119"/>
      <c r="M64" s="38"/>
    </row>
    <row r="65" spans="1:13" ht="33" customHeight="1">
      <c r="A65" s="117"/>
      <c r="B65" s="119"/>
      <c r="C65" s="119"/>
      <c r="D65" s="119"/>
      <c r="E65" s="120"/>
      <c r="F65" s="121"/>
      <c r="G65" s="121"/>
      <c r="H65" s="121"/>
      <c r="I65" s="121"/>
      <c r="J65" s="122"/>
      <c r="K65" s="119"/>
      <c r="L65" s="119"/>
      <c r="M65" s="38"/>
    </row>
    <row r="66" spans="1:13" ht="31.5" customHeight="1">
      <c r="A66" s="118"/>
      <c r="B66" s="119"/>
      <c r="C66" s="119"/>
      <c r="D66" s="119"/>
      <c r="E66" s="120"/>
      <c r="F66" s="121"/>
      <c r="G66" s="121"/>
      <c r="H66" s="121"/>
      <c r="I66" s="121"/>
      <c r="J66" s="122"/>
      <c r="K66" s="119"/>
      <c r="L66" s="119"/>
      <c r="M66" s="38"/>
    </row>
    <row r="67" spans="1:13" ht="31.5" customHeight="1">
      <c r="A67" s="113"/>
      <c r="B67" s="109"/>
      <c r="C67" s="109"/>
      <c r="D67" s="109"/>
      <c r="E67" s="110"/>
      <c r="F67" s="111"/>
      <c r="G67" s="111"/>
      <c r="H67" s="111"/>
      <c r="I67" s="111"/>
      <c r="J67" s="112"/>
      <c r="K67" s="109"/>
      <c r="L67" s="109"/>
      <c r="M67" s="78"/>
    </row>
    <row r="68" spans="1:13" ht="30.75" customHeight="1">
      <c r="A68" s="114"/>
      <c r="B68" s="109"/>
      <c r="C68" s="109"/>
      <c r="D68" s="109"/>
      <c r="E68" s="110"/>
      <c r="F68" s="111"/>
      <c r="G68" s="111"/>
      <c r="H68" s="111"/>
      <c r="I68" s="111"/>
      <c r="J68" s="112"/>
      <c r="K68" s="110"/>
      <c r="L68" s="112"/>
      <c r="M68" s="78"/>
    </row>
    <row r="69" spans="1:13" ht="26.1" customHeight="1">
      <c r="A69" s="114"/>
      <c r="B69" s="109"/>
      <c r="C69" s="109"/>
      <c r="D69" s="109"/>
      <c r="E69" s="110"/>
      <c r="F69" s="111"/>
      <c r="G69" s="111"/>
      <c r="H69" s="111"/>
      <c r="I69" s="111"/>
      <c r="J69" s="112"/>
      <c r="K69" s="109"/>
      <c r="L69" s="109"/>
      <c r="M69" s="78"/>
    </row>
    <row r="70" spans="1:13" ht="30" customHeight="1">
      <c r="A70" s="114"/>
      <c r="B70" s="109"/>
      <c r="C70" s="109"/>
      <c r="D70" s="109"/>
      <c r="E70" s="110"/>
      <c r="F70" s="111"/>
      <c r="G70" s="111"/>
      <c r="H70" s="111"/>
      <c r="I70" s="111"/>
      <c r="J70" s="112"/>
      <c r="K70" s="109"/>
      <c r="L70" s="109"/>
      <c r="M70" s="78"/>
    </row>
    <row r="71" spans="1:13" ht="27.95" customHeight="1">
      <c r="A71" s="115"/>
      <c r="B71" s="109"/>
      <c r="C71" s="109"/>
      <c r="D71" s="109"/>
      <c r="E71" s="110"/>
      <c r="F71" s="111"/>
      <c r="G71" s="111"/>
      <c r="H71" s="111"/>
      <c r="I71" s="111"/>
      <c r="J71" s="112"/>
      <c r="K71" s="109"/>
      <c r="L71" s="109"/>
      <c r="M71" s="78"/>
    </row>
    <row r="72" spans="1:13" ht="28.5" customHeight="1">
      <c r="A72" s="116"/>
      <c r="B72" s="119"/>
      <c r="C72" s="119"/>
      <c r="D72" s="119"/>
      <c r="E72" s="120"/>
      <c r="F72" s="121"/>
      <c r="G72" s="121"/>
      <c r="H72" s="121"/>
      <c r="I72" s="121"/>
      <c r="J72" s="122"/>
      <c r="K72" s="119"/>
      <c r="L72" s="119"/>
      <c r="M72" s="38"/>
    </row>
    <row r="73" spans="1:13" ht="27" customHeight="1">
      <c r="A73" s="117"/>
      <c r="B73" s="119"/>
      <c r="C73" s="119"/>
      <c r="D73" s="119"/>
      <c r="E73" s="120"/>
      <c r="F73" s="121"/>
      <c r="G73" s="121"/>
      <c r="H73" s="121"/>
      <c r="I73" s="121"/>
      <c r="J73" s="122"/>
      <c r="K73" s="119"/>
      <c r="L73" s="119"/>
      <c r="M73" s="38"/>
    </row>
    <row r="74" spans="1:13" ht="29.25" customHeight="1">
      <c r="A74" s="117"/>
      <c r="B74" s="119"/>
      <c r="C74" s="119"/>
      <c r="D74" s="119"/>
      <c r="E74" s="120"/>
      <c r="F74" s="121"/>
      <c r="G74" s="121"/>
      <c r="H74" s="121"/>
      <c r="I74" s="121"/>
      <c r="J74" s="122"/>
      <c r="K74" s="119"/>
      <c r="L74" s="119"/>
      <c r="M74" s="38"/>
    </row>
    <row r="75" spans="1:13" ht="33" customHeight="1">
      <c r="A75" s="117"/>
      <c r="B75" s="119"/>
      <c r="C75" s="119"/>
      <c r="D75" s="119"/>
      <c r="E75" s="120"/>
      <c r="F75" s="121"/>
      <c r="G75" s="121"/>
      <c r="H75" s="121"/>
      <c r="I75" s="121"/>
      <c r="J75" s="122"/>
      <c r="K75" s="119"/>
      <c r="L75" s="119"/>
      <c r="M75" s="38"/>
    </row>
    <row r="76" spans="1:13" ht="15.6" customHeight="1">
      <c r="A76" s="118"/>
      <c r="B76" s="119"/>
      <c r="C76" s="119"/>
      <c r="D76" s="119"/>
      <c r="E76" s="120"/>
      <c r="F76" s="121"/>
      <c r="G76" s="121"/>
      <c r="H76" s="121"/>
      <c r="I76" s="121"/>
      <c r="J76" s="122"/>
      <c r="K76" s="119"/>
      <c r="L76" s="119"/>
      <c r="M76" s="38"/>
    </row>
    <row r="77" spans="1:13" ht="30.75" customHeight="1">
      <c r="A77" s="113"/>
      <c r="B77" s="109"/>
      <c r="C77" s="109"/>
      <c r="D77" s="109"/>
      <c r="E77" s="110"/>
      <c r="F77" s="111"/>
      <c r="G77" s="111"/>
      <c r="H77" s="111"/>
      <c r="I77" s="111"/>
      <c r="J77" s="112"/>
      <c r="K77" s="109"/>
      <c r="L77" s="109"/>
      <c r="M77" s="78"/>
    </row>
    <row r="78" spans="1:13" ht="36.75" customHeight="1">
      <c r="A78" s="114"/>
      <c r="B78" s="109"/>
      <c r="C78" s="109"/>
      <c r="D78" s="109"/>
      <c r="E78" s="110"/>
      <c r="F78" s="111"/>
      <c r="G78" s="111"/>
      <c r="H78" s="111"/>
      <c r="I78" s="111"/>
      <c r="J78" s="112"/>
      <c r="K78" s="109"/>
      <c r="L78" s="109"/>
      <c r="M78" s="78"/>
    </row>
    <row r="79" spans="1:13" ht="31.5" customHeight="1">
      <c r="A79" s="114"/>
      <c r="B79" s="109"/>
      <c r="C79" s="109"/>
      <c r="D79" s="109"/>
      <c r="E79" s="110"/>
      <c r="F79" s="111"/>
      <c r="G79" s="111"/>
      <c r="H79" s="111"/>
      <c r="I79" s="111"/>
      <c r="J79" s="112"/>
      <c r="K79" s="109"/>
      <c r="L79" s="109"/>
      <c r="M79" s="78"/>
    </row>
    <row r="80" spans="1:13" ht="38.25" customHeight="1">
      <c r="A80" s="114"/>
      <c r="B80" s="109"/>
      <c r="C80" s="109"/>
      <c r="D80" s="109"/>
      <c r="E80" s="110"/>
      <c r="F80" s="111"/>
      <c r="G80" s="111"/>
      <c r="H80" s="111"/>
      <c r="I80" s="111"/>
      <c r="J80" s="112"/>
      <c r="K80" s="109"/>
      <c r="L80" s="109"/>
      <c r="M80" s="78"/>
    </row>
    <row r="81" spans="1:13" ht="30.6" customHeight="1">
      <c r="A81" s="115"/>
      <c r="B81" s="109"/>
      <c r="C81" s="109"/>
      <c r="D81" s="109"/>
      <c r="E81" s="110"/>
      <c r="F81" s="111"/>
      <c r="G81" s="111"/>
      <c r="H81" s="111"/>
      <c r="I81" s="111"/>
      <c r="J81" s="112"/>
      <c r="K81" s="109"/>
      <c r="L81" s="109"/>
      <c r="M81" s="78"/>
    </row>
  </sheetData>
  <mergeCells count="184">
    <mergeCell ref="A6:M6"/>
    <mergeCell ref="B8:D8"/>
    <mergeCell ref="B9:D9"/>
    <mergeCell ref="B10:D10"/>
    <mergeCell ref="A24:C24"/>
    <mergeCell ref="B26:D26"/>
    <mergeCell ref="E26:J26"/>
    <mergeCell ref="K26:L26"/>
    <mergeCell ref="B27:D27"/>
    <mergeCell ref="E27:J27"/>
    <mergeCell ref="K27:L27"/>
    <mergeCell ref="A27:A31"/>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 ref="B38:D38"/>
    <mergeCell ref="E38:J38"/>
    <mergeCell ref="K38:L38"/>
    <mergeCell ref="B39:D39"/>
    <mergeCell ref="E39:J39"/>
    <mergeCell ref="K39:L39"/>
    <mergeCell ref="B40:D40"/>
    <mergeCell ref="E40:J40"/>
    <mergeCell ref="K40:L40"/>
    <mergeCell ref="B41:D41"/>
    <mergeCell ref="E41:J41"/>
    <mergeCell ref="K41:L41"/>
    <mergeCell ref="B42:D42"/>
    <mergeCell ref="E42:J42"/>
    <mergeCell ref="K42:L42"/>
    <mergeCell ref="B43:D43"/>
    <mergeCell ref="E43:J43"/>
    <mergeCell ref="K43:L43"/>
    <mergeCell ref="B44:D44"/>
    <mergeCell ref="E44:J44"/>
    <mergeCell ref="K44:L44"/>
    <mergeCell ref="B45:D45"/>
    <mergeCell ref="E45:J45"/>
    <mergeCell ref="K45:L45"/>
    <mergeCell ref="B46:D46"/>
    <mergeCell ref="E46:J46"/>
    <mergeCell ref="K46:L46"/>
    <mergeCell ref="B47:D47"/>
    <mergeCell ref="E47:J47"/>
    <mergeCell ref="K47:L47"/>
    <mergeCell ref="B48:D48"/>
    <mergeCell ref="E48:J48"/>
    <mergeCell ref="K48:L48"/>
    <mergeCell ref="B49:D49"/>
    <mergeCell ref="E49:J49"/>
    <mergeCell ref="K49:L49"/>
    <mergeCell ref="B50:D50"/>
    <mergeCell ref="E50:J50"/>
    <mergeCell ref="K50:L50"/>
    <mergeCell ref="B51:D51"/>
    <mergeCell ref="E51:J51"/>
    <mergeCell ref="K51:L51"/>
    <mergeCell ref="B52:D52"/>
    <mergeCell ref="E52:J52"/>
    <mergeCell ref="K52:L52"/>
    <mergeCell ref="B53:D53"/>
    <mergeCell ref="E53:J53"/>
    <mergeCell ref="K53:L53"/>
    <mergeCell ref="B54:D54"/>
    <mergeCell ref="E54:J54"/>
    <mergeCell ref="K54:L54"/>
    <mergeCell ref="B55:D55"/>
    <mergeCell ref="E55:J55"/>
    <mergeCell ref="K55:L55"/>
    <mergeCell ref="B56:D56"/>
    <mergeCell ref="E56:J56"/>
    <mergeCell ref="K56:L56"/>
    <mergeCell ref="B57:D57"/>
    <mergeCell ref="E57:J57"/>
    <mergeCell ref="K57:L57"/>
    <mergeCell ref="B58:D58"/>
    <mergeCell ref="E58:J58"/>
    <mergeCell ref="K58:L58"/>
    <mergeCell ref="B59:D59"/>
    <mergeCell ref="E59:J59"/>
    <mergeCell ref="K59:L59"/>
    <mergeCell ref="B60:D60"/>
    <mergeCell ref="E60:J60"/>
    <mergeCell ref="K60:L60"/>
    <mergeCell ref="B61:D61"/>
    <mergeCell ref="E61:J61"/>
    <mergeCell ref="K61:L61"/>
    <mergeCell ref="B62:D62"/>
    <mergeCell ref="E62:J62"/>
    <mergeCell ref="K62:L62"/>
    <mergeCell ref="B63:D63"/>
    <mergeCell ref="E63:J63"/>
    <mergeCell ref="K63:L63"/>
    <mergeCell ref="B64:D64"/>
    <mergeCell ref="E64:J64"/>
    <mergeCell ref="K64:L64"/>
    <mergeCell ref="B65:D65"/>
    <mergeCell ref="E65:J65"/>
    <mergeCell ref="K65:L65"/>
    <mergeCell ref="B66:D66"/>
    <mergeCell ref="E66:J66"/>
    <mergeCell ref="K66:L66"/>
    <mergeCell ref="B67:D67"/>
    <mergeCell ref="E67:J67"/>
    <mergeCell ref="K67:L67"/>
    <mergeCell ref="B68:D68"/>
    <mergeCell ref="E68:J68"/>
    <mergeCell ref="K68:L68"/>
    <mergeCell ref="B69:D69"/>
    <mergeCell ref="E69:J69"/>
    <mergeCell ref="K69:L69"/>
    <mergeCell ref="B70:D70"/>
    <mergeCell ref="E70:J70"/>
    <mergeCell ref="K70:L70"/>
    <mergeCell ref="B71:D71"/>
    <mergeCell ref="E71:J71"/>
    <mergeCell ref="K71:L71"/>
    <mergeCell ref="B72:D72"/>
    <mergeCell ref="E72:J72"/>
    <mergeCell ref="K72:L72"/>
    <mergeCell ref="B73:D73"/>
    <mergeCell ref="E73:J73"/>
    <mergeCell ref="K73:L73"/>
    <mergeCell ref="K79:L79"/>
    <mergeCell ref="B74:D74"/>
    <mergeCell ref="E74:J74"/>
    <mergeCell ref="K74:L74"/>
    <mergeCell ref="B75:D75"/>
    <mergeCell ref="E75:J75"/>
    <mergeCell ref="K75:L75"/>
    <mergeCell ref="B76:D76"/>
    <mergeCell ref="E76:J76"/>
    <mergeCell ref="K76:L76"/>
    <mergeCell ref="B80:D80"/>
    <mergeCell ref="E80:J80"/>
    <mergeCell ref="K80:L80"/>
    <mergeCell ref="B81:D81"/>
    <mergeCell ref="E81:J81"/>
    <mergeCell ref="K81:L81"/>
    <mergeCell ref="A77:A81"/>
    <mergeCell ref="A32:A36"/>
    <mergeCell ref="A37:A41"/>
    <mergeCell ref="A42:A46"/>
    <mergeCell ref="A47:A51"/>
    <mergeCell ref="A52:A56"/>
    <mergeCell ref="A57:A61"/>
    <mergeCell ref="A62:A66"/>
    <mergeCell ref="A67:A71"/>
    <mergeCell ref="A72:A76"/>
    <mergeCell ref="B77:D77"/>
    <mergeCell ref="E77:J77"/>
    <mergeCell ref="K77:L77"/>
    <mergeCell ref="B78:D78"/>
    <mergeCell ref="E78:J78"/>
    <mergeCell ref="K78:L78"/>
    <mergeCell ref="B79:D79"/>
    <mergeCell ref="E79:J79"/>
  </mergeCells>
  <printOptions horizontalCentered="1" verticalCentered="1"/>
  <pageMargins left="0.70866141732283505" right="0.70866141732283505" top="0.74803149606299202" bottom="0.74803149606299202" header="0.31496062992126" footer="0.31496062992126"/>
  <pageSetup paperSize="9" scale="87"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Q12"/>
  <sheetViews>
    <sheetView zoomScale="70" zoomScaleNormal="70" workbookViewId="0">
      <selection activeCell="E11" sqref="E11"/>
    </sheetView>
  </sheetViews>
  <sheetFormatPr defaultColWidth="8.85546875" defaultRowHeight="15.75"/>
  <cols>
    <col min="1" max="1" width="7.140625" style="1" customWidth="1"/>
    <col min="2" max="2" width="74.140625" style="1" customWidth="1"/>
    <col min="3" max="7" width="10.42578125" style="1" customWidth="1"/>
    <col min="8" max="9" width="8.85546875" style="1"/>
    <col min="10" max="12" width="10.42578125" style="1" customWidth="1"/>
    <col min="13" max="16384" width="8.85546875" style="1"/>
  </cols>
  <sheetData>
    <row r="1" spans="1:17">
      <c r="A1" s="25" t="s">
        <v>0</v>
      </c>
      <c r="C1" s="3"/>
      <c r="D1" s="3"/>
      <c r="E1" s="3"/>
      <c r="F1" s="3"/>
      <c r="J1" s="3"/>
      <c r="K1" s="3"/>
      <c r="L1" s="3" t="s">
        <v>1</v>
      </c>
    </row>
    <row r="2" spans="1:17">
      <c r="A2" s="25" t="s">
        <v>2</v>
      </c>
      <c r="C2" s="3"/>
      <c r="D2" s="3"/>
      <c r="E2" s="3"/>
      <c r="F2" s="3"/>
      <c r="J2" s="3"/>
      <c r="K2" s="3"/>
      <c r="L2" s="3" t="s">
        <v>3</v>
      </c>
    </row>
    <row r="3" spans="1:17">
      <c r="A3" s="25" t="s">
        <v>24</v>
      </c>
      <c r="C3" s="3"/>
      <c r="D3" s="3"/>
      <c r="E3" s="3"/>
      <c r="F3" s="3"/>
      <c r="J3" s="3"/>
      <c r="K3" s="3"/>
      <c r="L3" s="3" t="s">
        <v>5</v>
      </c>
    </row>
    <row r="4" spans="1:17">
      <c r="A4" s="3"/>
      <c r="C4" s="3"/>
      <c r="D4" s="3"/>
      <c r="E4" s="3"/>
      <c r="F4" s="3"/>
      <c r="G4" s="3"/>
      <c r="J4" s="3"/>
      <c r="K4" s="3"/>
      <c r="L4" s="3"/>
    </row>
    <row r="5" spans="1:17">
      <c r="C5" s="42"/>
      <c r="D5" s="42"/>
      <c r="E5" s="42"/>
      <c r="F5" s="42"/>
      <c r="G5" s="42"/>
      <c r="J5" s="42"/>
      <c r="K5" s="42"/>
      <c r="L5" s="42"/>
    </row>
    <row r="6" spans="1:17" ht="30" customHeight="1">
      <c r="A6" s="106" t="s">
        <v>25</v>
      </c>
      <c r="B6" s="107"/>
      <c r="C6" s="107"/>
      <c r="D6" s="107"/>
      <c r="E6" s="107"/>
      <c r="F6" s="107"/>
      <c r="G6" s="107"/>
      <c r="H6" s="107"/>
      <c r="I6" s="107"/>
      <c r="J6" s="107"/>
      <c r="K6" s="107"/>
      <c r="L6" s="107"/>
      <c r="M6" s="107"/>
      <c r="N6" s="47"/>
      <c r="O6" s="47"/>
      <c r="P6" s="47"/>
      <c r="Q6" s="47"/>
    </row>
    <row r="7" spans="1:17" ht="24.95" customHeight="1">
      <c r="A7" s="135" t="s">
        <v>7</v>
      </c>
      <c r="B7" s="135" t="s">
        <v>8</v>
      </c>
      <c r="C7" s="133" t="s">
        <v>26</v>
      </c>
      <c r="D7" s="134"/>
      <c r="E7" s="134"/>
      <c r="F7" s="134"/>
      <c r="G7" s="134"/>
      <c r="H7" s="134"/>
      <c r="I7" s="134"/>
      <c r="J7" s="134"/>
      <c r="K7" s="134"/>
      <c r="L7" s="134"/>
      <c r="M7" s="134"/>
    </row>
    <row r="8" spans="1:17" ht="24.95" customHeight="1">
      <c r="A8" s="135"/>
      <c r="B8" s="135"/>
      <c r="C8" s="43" t="s">
        <v>177</v>
      </c>
      <c r="D8" s="103" t="s">
        <v>179</v>
      </c>
      <c r="E8" s="43" t="s">
        <v>178</v>
      </c>
      <c r="F8" s="43"/>
      <c r="G8" s="43"/>
      <c r="H8" s="43"/>
      <c r="I8" s="43"/>
      <c r="J8" s="43"/>
      <c r="K8" s="43"/>
      <c r="L8" s="43"/>
      <c r="M8" s="43"/>
    </row>
    <row r="9" spans="1:17" ht="29.25" customHeight="1">
      <c r="A9" s="27">
        <v>1</v>
      </c>
      <c r="B9" s="45" t="s">
        <v>27</v>
      </c>
      <c r="C9" s="27">
        <v>1</v>
      </c>
      <c r="D9" s="27">
        <v>1</v>
      </c>
      <c r="E9" s="27">
        <v>1</v>
      </c>
      <c r="F9" s="27"/>
      <c r="G9" s="27"/>
      <c r="H9" s="27"/>
      <c r="I9" s="27"/>
      <c r="J9" s="27"/>
      <c r="K9" s="27"/>
      <c r="L9" s="27"/>
      <c r="M9" s="27"/>
    </row>
    <row r="10" spans="1:17" ht="20.100000000000001" customHeight="1">
      <c r="A10" s="27">
        <v>2</v>
      </c>
      <c r="B10" s="45" t="s">
        <v>28</v>
      </c>
      <c r="C10" s="27">
        <v>1</v>
      </c>
      <c r="D10" s="27">
        <v>1</v>
      </c>
      <c r="E10" s="27">
        <v>1</v>
      </c>
      <c r="F10" s="27"/>
      <c r="G10" s="27"/>
      <c r="H10" s="27"/>
      <c r="I10" s="27"/>
      <c r="J10" s="27"/>
      <c r="K10" s="27"/>
      <c r="L10" s="27"/>
      <c r="M10" s="27"/>
    </row>
    <row r="11" spans="1:17" ht="20.100000000000001" customHeight="1">
      <c r="A11" s="27">
        <v>3</v>
      </c>
      <c r="B11" s="45" t="s">
        <v>29</v>
      </c>
      <c r="C11" s="27">
        <v>1</v>
      </c>
      <c r="D11" s="27">
        <v>1</v>
      </c>
      <c r="E11" s="27">
        <v>1</v>
      </c>
      <c r="F11" s="27"/>
      <c r="G11" s="27"/>
      <c r="H11" s="27"/>
      <c r="I11" s="27"/>
      <c r="J11" s="27"/>
      <c r="K11" s="27"/>
      <c r="L11" s="27"/>
      <c r="M11" s="27"/>
    </row>
    <row r="12" spans="1:17" ht="20.100000000000001" customHeight="1">
      <c r="A12" s="108" t="s">
        <v>10</v>
      </c>
      <c r="B12" s="108"/>
      <c r="C12" s="46">
        <f>IFERROR(AVERAGE(C9:C11),"-")</f>
        <v>1</v>
      </c>
      <c r="D12" s="46">
        <f>IFERROR(AVERAGE(D9:D11),"-")</f>
        <v>1</v>
      </c>
      <c r="E12" s="46">
        <f>IFERROR(AVERAGE(E9:E11),"-")</f>
        <v>1</v>
      </c>
      <c r="F12" s="46" t="str">
        <f>IFERROR(AVERAGE(F9:F11),"-")</f>
        <v>-</v>
      </c>
      <c r="G12" s="46" t="e">
        <f>AVERAGE(G9:G11)</f>
        <v>#DIV/0!</v>
      </c>
      <c r="H12" s="46" t="str">
        <f>IFERROR(AVERAGE(H9:H11),"-")</f>
        <v>-</v>
      </c>
      <c r="I12" s="46" t="str">
        <f>IFERROR(AVERAGE(I9:I11),"-")</f>
        <v>-</v>
      </c>
      <c r="J12" s="46" t="str">
        <f>IFERROR(AVERAGE(J9:J11),"-")</f>
        <v>-</v>
      </c>
      <c r="K12" s="46" t="e">
        <f>AVERAGE(K9:K11)</f>
        <v>#DIV/0!</v>
      </c>
      <c r="L12" s="46" t="e">
        <f>AVERAGE(L9:L11)</f>
        <v>#DIV/0!</v>
      </c>
      <c r="M12" s="46" t="str">
        <f>IFERROR(AVERAGE(M9:M11),"-")</f>
        <v>-</v>
      </c>
    </row>
  </sheetData>
  <mergeCells count="5">
    <mergeCell ref="A6:M6"/>
    <mergeCell ref="C7:M7"/>
    <mergeCell ref="A12:B12"/>
    <mergeCell ref="A7:A8"/>
    <mergeCell ref="B7:B8"/>
  </mergeCells>
  <printOptions horizontalCentered="1"/>
  <pageMargins left="0.7" right="0.7" top="0.75" bottom="0.75" header="0.3" footer="0.3"/>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53E35A83-1355-43F4-BE4C-43A1FDCE17D1}">
            <xm:f>NOT(ISERROR(SEARCH(0,C9)))</xm:f>
            <xm:f>0</xm:f>
            <x14:dxf>
              <font>
                <color theme="0"/>
              </font>
              <fill>
                <patternFill patternType="solid">
                  <bgColor rgb="FFC00000"/>
                </patternFill>
              </fill>
            </x14:dxf>
          </x14:cfRule>
          <xm:sqref>C9:M11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P37"/>
  <sheetViews>
    <sheetView zoomScale="70" zoomScaleNormal="70" workbookViewId="0">
      <selection activeCell="A15" sqref="A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6">
      <c r="A1" s="25" t="s">
        <v>0</v>
      </c>
      <c r="P1" s="3" t="s">
        <v>1</v>
      </c>
    </row>
    <row r="2" spans="1:16">
      <c r="A2" s="25" t="s">
        <v>2</v>
      </c>
      <c r="P2" s="3" t="s">
        <v>3</v>
      </c>
    </row>
    <row r="3" spans="1:16">
      <c r="A3" s="25" t="s">
        <v>24</v>
      </c>
      <c r="C3" s="3"/>
      <c r="D3" s="3"/>
      <c r="E3" s="3"/>
      <c r="F3" s="3"/>
      <c r="J3" s="3"/>
      <c r="K3" s="3"/>
      <c r="L3" s="3"/>
      <c r="N3" s="3"/>
      <c r="O3" s="3" t="s">
        <v>5</v>
      </c>
    </row>
    <row r="4" spans="1:16">
      <c r="M4" s="3"/>
    </row>
    <row r="6" spans="1:16" ht="32.1" customHeight="1">
      <c r="A6" s="107" t="s">
        <v>25</v>
      </c>
      <c r="B6" s="107"/>
      <c r="C6" s="107"/>
      <c r="D6" s="107"/>
      <c r="E6" s="107"/>
      <c r="F6" s="107"/>
      <c r="G6" s="107"/>
      <c r="H6" s="107"/>
      <c r="I6" s="107"/>
      <c r="J6" s="107"/>
      <c r="K6" s="107"/>
      <c r="L6" s="107"/>
      <c r="M6" s="107"/>
      <c r="N6" s="107"/>
      <c r="O6" s="107"/>
      <c r="P6" s="107"/>
    </row>
    <row r="8" spans="1:16">
      <c r="A8" s="26" t="s">
        <v>12</v>
      </c>
      <c r="B8" s="124" t="s">
        <v>13</v>
      </c>
      <c r="C8" s="124"/>
      <c r="D8" s="124"/>
      <c r="E8" s="7"/>
      <c r="F8" s="7"/>
      <c r="G8" s="7"/>
      <c r="H8" s="7"/>
      <c r="I8" s="7"/>
    </row>
    <row r="9" spans="1:16">
      <c r="A9" s="26" t="s">
        <v>14</v>
      </c>
      <c r="B9" s="124" t="s">
        <v>15</v>
      </c>
      <c r="C9" s="124"/>
      <c r="D9" s="124"/>
      <c r="E9" s="7"/>
      <c r="F9" s="7"/>
      <c r="G9" s="7"/>
      <c r="H9" s="7"/>
      <c r="I9" s="7"/>
    </row>
    <row r="10" spans="1:16">
      <c r="A10" s="27" t="s">
        <v>16</v>
      </c>
      <c r="B10" s="125">
        <v>0.8</v>
      </c>
      <c r="C10" s="125"/>
      <c r="D10" s="125"/>
      <c r="E10" s="11"/>
      <c r="F10" s="11"/>
      <c r="G10" s="11"/>
      <c r="H10" s="11"/>
      <c r="I10" s="11"/>
    </row>
    <row r="12" spans="1:16">
      <c r="A12" s="29" t="s">
        <v>17</v>
      </c>
      <c r="B12" s="29" t="s">
        <v>12</v>
      </c>
      <c r="C12" s="29" t="s">
        <v>14</v>
      </c>
      <c r="D12" s="29" t="s">
        <v>18</v>
      </c>
    </row>
    <row r="13" spans="1:16">
      <c r="A13" s="49" t="inlineStr">
        <is>
          <t>3/2026</t>
        </is>
      </c>
      <c r="B13" s="31">
        <f>SUMPRODUCT(--('الأكسجين'!$C$9:$C$11&amp;""="1"))</f>
        <v>3</v>
      </c>
      <c r="C13" s="31">
        <f>SUMPRODUCT(--('الأكسجين'!$C$9:$C$11&amp;""="1"))+SUMPRODUCT(--('الأكسجين'!$C$9:$C$11&amp;""="0"))</f>
        <v>3</v>
      </c>
      <c r="D13" s="28">
        <f>IFERROR(B13/C13,"")</f>
        <v>1</v>
      </c>
    </row>
    <row r="14" spans="1:16">
      <c r="A14" s="49" t="inlineStr">
        <is>
          <t>6/2026</t>
        </is>
      </c>
      <c r="B14" s="31">
        <f>SUMPRODUCT(--('الأكسجين'!$D$9:$D$11&amp;""="1"))</f>
        <v>3</v>
      </c>
      <c r="C14" s="31">
        <f>SUMPRODUCT(--('الأكسجين'!$D$9:$D$11&amp;""="1"))+SUMPRODUCT(--('الأكسجين'!$D$9:$D$11&amp;""="0"))</f>
        <v>3</v>
      </c>
      <c r="D14" s="28">
        <f>IFERROR(B14/C14,"")</f>
        <v>1</v>
      </c>
    </row>
    <row r="15" spans="1:16">
      <c r="A15" s="49" t="inlineStr">
        <is>
          <t>9/2026</t>
        </is>
      </c>
      <c r="B15" s="31">
        <f>SUMPRODUCT(--('الأكسجين'!$E$9:$E$11&amp;""="1"))</f>
        <v>3</v>
      </c>
      <c r="C15" s="31">
        <f>SUMPRODUCT(--('الأكسجين'!$E$9:$E$11&amp;""="1"))+SUMPRODUCT(--('الأكسجين'!$E$9:$E$11&amp;""="0"))</f>
        <v>3</v>
      </c>
      <c r="D15" s="28">
        <f>IFERROR(B15/C15,"")</f>
        <v>1</v>
      </c>
    </row>
    <row r="16" spans="1:16">
      <c r="A16" s="30"/>
      <c r="B16" s="31"/>
      <c r="C16" s="31"/>
      <c r="D16" s="28" t="str">
        <f>IFERROR(B16/C16,"")</f>
        <v/>
      </c>
    </row>
    <row r="17" spans="1:13">
      <c r="A17" s="30"/>
      <c r="B17" s="31"/>
      <c r="C17" s="31"/>
      <c r="D17" s="83" t="str">
        <f>IFERROR(B17/C17,"")</f>
        <v/>
      </c>
    </row>
    <row r="18" spans="1:13">
      <c r="A18" s="30"/>
      <c r="B18" s="31"/>
      <c r="C18" s="31"/>
      <c r="D18" s="28" t="str">
        <f>IFERROR(B18/C18,"")</f>
        <v/>
      </c>
    </row>
    <row r="19" spans="1:13">
      <c r="A19" s="30"/>
      <c r="B19" s="31"/>
      <c r="C19" s="31"/>
      <c r="D19" s="83" t="str">
        <f>IFERROR(B19/C19,"")</f>
        <v/>
      </c>
    </row>
    <row r="20" spans="1:13">
      <c r="A20" s="49"/>
      <c r="B20" s="31"/>
      <c r="C20" s="31"/>
      <c r="D20" s="28" t="str">
        <f>IFERROR(B20/C20,"")</f>
        <v/>
      </c>
    </row>
    <row r="21" spans="1:13">
      <c r="A21" s="49"/>
      <c r="B21" s="31"/>
      <c r="C21" s="31"/>
      <c r="D21" s="83" t="str">
        <f>IFERROR(B21/C21,"")</f>
        <v/>
      </c>
    </row>
    <row r="22" spans="1:13">
      <c r="A22" s="49"/>
      <c r="B22" s="31"/>
      <c r="C22" s="31"/>
      <c r="D22" s="28" t="str">
        <f>IFERROR(B22/C22,"")</f>
        <v/>
      </c>
    </row>
    <row r="23" spans="1:13">
      <c r="A23" s="49"/>
      <c r="B23" s="31"/>
      <c r="C23" s="31"/>
      <c r="D23" s="28" t="str">
        <f>IFERROR(B23/C23,"")</f>
        <v/>
      </c>
    </row>
    <row r="24" spans="1:13">
      <c r="A24" s="126" t="s">
        <v>19</v>
      </c>
      <c r="B24" s="127"/>
      <c r="C24" s="128"/>
      <c r="D24" s="35">
        <f>AVERAGE(D13:D23)</f>
        <v>1</v>
      </c>
    </row>
    <row r="26" spans="1:13" ht="23.45" customHeight="1">
      <c r="A26" s="36" t="s">
        <v>17</v>
      </c>
      <c r="B26" s="129" t="s">
        <v>20</v>
      </c>
      <c r="C26" s="129"/>
      <c r="D26" s="129"/>
      <c r="E26" s="129" t="s">
        <v>21</v>
      </c>
      <c r="F26" s="129"/>
      <c r="G26" s="129"/>
      <c r="H26" s="129"/>
      <c r="I26" s="129"/>
      <c r="J26" s="129"/>
      <c r="K26" s="129" t="s">
        <v>22</v>
      </c>
      <c r="L26" s="129"/>
      <c r="M26" s="36" t="s">
        <v>23</v>
      </c>
    </row>
    <row r="27" spans="1:13" ht="21.95" customHeight="1">
      <c r="A27" s="30"/>
      <c r="B27" s="137"/>
      <c r="C27" s="137"/>
      <c r="D27" s="137"/>
      <c r="E27" s="137" t="s">
        <v>30</v>
      </c>
      <c r="F27" s="137"/>
      <c r="G27" s="137"/>
      <c r="H27" s="137"/>
      <c r="I27" s="137"/>
      <c r="J27" s="137"/>
      <c r="K27" s="137" t="s">
        <v>30</v>
      </c>
      <c r="L27" s="137"/>
      <c r="M27" s="37" t="s">
        <v>30</v>
      </c>
    </row>
    <row r="28" spans="1:13" ht="21.95" customHeight="1">
      <c r="A28" s="76"/>
      <c r="B28" s="136"/>
      <c r="C28" s="136"/>
      <c r="D28" s="136"/>
      <c r="E28" s="136" t="s">
        <v>30</v>
      </c>
      <c r="F28" s="136"/>
      <c r="G28" s="136"/>
      <c r="H28" s="136"/>
      <c r="I28" s="136"/>
      <c r="J28" s="136"/>
      <c r="K28" s="136" t="s">
        <v>30</v>
      </c>
      <c r="L28" s="136"/>
      <c r="M28" s="39" t="s">
        <v>30</v>
      </c>
    </row>
    <row r="29" spans="1:13" ht="21.95" customHeight="1">
      <c r="A29" s="30"/>
      <c r="B29" s="137"/>
      <c r="C29" s="137"/>
      <c r="D29" s="137"/>
      <c r="E29" s="137" t="s">
        <v>30</v>
      </c>
      <c r="F29" s="137"/>
      <c r="G29" s="137"/>
      <c r="H29" s="137"/>
      <c r="I29" s="137"/>
      <c r="J29" s="137"/>
      <c r="K29" s="137" t="s">
        <v>30</v>
      </c>
      <c r="L29" s="137"/>
      <c r="M29" s="37" t="s">
        <v>30</v>
      </c>
    </row>
    <row r="30" spans="1:13" ht="21.95" customHeight="1">
      <c r="A30" s="76"/>
      <c r="B30" s="136"/>
      <c r="C30" s="136"/>
      <c r="D30" s="136"/>
      <c r="E30" s="136" t="s">
        <v>30</v>
      </c>
      <c r="F30" s="136"/>
      <c r="G30" s="136"/>
      <c r="H30" s="136"/>
      <c r="I30" s="136"/>
      <c r="J30" s="136"/>
      <c r="K30" s="136" t="s">
        <v>30</v>
      </c>
      <c r="L30" s="136"/>
      <c r="M30" s="39" t="s">
        <v>30</v>
      </c>
    </row>
    <row r="31" spans="1:13" ht="21.95" customHeight="1">
      <c r="A31" s="51"/>
      <c r="B31" s="109"/>
      <c r="C31" s="109"/>
      <c r="D31" s="109"/>
      <c r="E31" s="109" t="s">
        <v>30</v>
      </c>
      <c r="F31" s="109"/>
      <c r="G31" s="109"/>
      <c r="H31" s="109"/>
      <c r="I31" s="109"/>
      <c r="J31" s="109"/>
      <c r="K31" s="109" t="s">
        <v>30</v>
      </c>
      <c r="L31" s="109"/>
      <c r="M31" s="78" t="s">
        <v>30</v>
      </c>
    </row>
    <row r="32" spans="1:13" ht="21.95" customHeight="1">
      <c r="A32" s="76"/>
      <c r="B32" s="136"/>
      <c r="C32" s="136"/>
      <c r="D32" s="136"/>
      <c r="E32" s="136"/>
      <c r="F32" s="136"/>
      <c r="G32" s="136"/>
      <c r="H32" s="136"/>
      <c r="I32" s="136"/>
      <c r="J32" s="136"/>
      <c r="K32" s="136" t="s">
        <v>30</v>
      </c>
      <c r="L32" s="136"/>
      <c r="M32" s="39" t="s">
        <v>30</v>
      </c>
    </row>
    <row r="33" spans="1:13" ht="21.95" customHeight="1">
      <c r="A33" s="30"/>
      <c r="B33" s="109"/>
      <c r="C33" s="109"/>
      <c r="D33" s="109"/>
      <c r="E33" s="109" t="s">
        <v>30</v>
      </c>
      <c r="F33" s="109"/>
      <c r="G33" s="109"/>
      <c r="H33" s="109"/>
      <c r="I33" s="109"/>
      <c r="J33" s="109"/>
      <c r="K33" s="109" t="s">
        <v>30</v>
      </c>
      <c r="L33" s="109"/>
      <c r="M33" s="78" t="s">
        <v>30</v>
      </c>
    </row>
    <row r="34" spans="1:13" ht="21.95" customHeight="1">
      <c r="A34" s="77"/>
      <c r="B34" s="136"/>
      <c r="C34" s="136"/>
      <c r="D34" s="136"/>
      <c r="E34" s="136" t="s">
        <v>30</v>
      </c>
      <c r="F34" s="136"/>
      <c r="G34" s="136"/>
      <c r="H34" s="136"/>
      <c r="I34" s="136"/>
      <c r="J34" s="136"/>
      <c r="K34" s="136" t="s">
        <v>30</v>
      </c>
      <c r="L34" s="136"/>
      <c r="M34" s="39" t="s">
        <v>30</v>
      </c>
    </row>
    <row r="35" spans="1:13" ht="21.95" customHeight="1">
      <c r="A35" s="52"/>
      <c r="B35" s="109"/>
      <c r="C35" s="109"/>
      <c r="D35" s="109"/>
      <c r="E35" s="109" t="s">
        <v>30</v>
      </c>
      <c r="F35" s="109"/>
      <c r="G35" s="109"/>
      <c r="H35" s="109"/>
      <c r="I35" s="109"/>
      <c r="J35" s="109"/>
      <c r="K35" s="109" t="s">
        <v>30</v>
      </c>
      <c r="L35" s="109"/>
      <c r="M35" s="78" t="s">
        <v>30</v>
      </c>
    </row>
    <row r="36" spans="1:13" ht="21.95" customHeight="1">
      <c r="A36" s="77"/>
      <c r="B36" s="136"/>
      <c r="C36" s="136"/>
      <c r="D36" s="136"/>
      <c r="E36" s="136" t="s">
        <v>30</v>
      </c>
      <c r="F36" s="136"/>
      <c r="G36" s="136"/>
      <c r="H36" s="136"/>
      <c r="I36" s="136"/>
      <c r="J36" s="136"/>
      <c r="K36" s="136" t="s">
        <v>30</v>
      </c>
      <c r="L36" s="136"/>
      <c r="M36" s="39" t="s">
        <v>30</v>
      </c>
    </row>
    <row r="37" spans="1:13" ht="21.95" customHeight="1">
      <c r="A37" s="52"/>
      <c r="B37" s="109"/>
      <c r="C37" s="109"/>
      <c r="D37" s="109"/>
      <c r="E37" s="109" t="s">
        <v>30</v>
      </c>
      <c r="F37" s="109"/>
      <c r="G37" s="109"/>
      <c r="H37" s="109"/>
      <c r="I37" s="109"/>
      <c r="J37" s="109"/>
      <c r="K37" s="109" t="s">
        <v>30</v>
      </c>
      <c r="L37" s="109"/>
      <c r="M37" s="78" t="s">
        <v>30</v>
      </c>
    </row>
  </sheetData>
  <mergeCells count="41">
    <mergeCell ref="A6:P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 right="0.7" top="0.75" bottom="0.75" header="0.3" footer="0.3"/>
  <pageSetup paperSize="9" scale="75"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M26"/>
  <sheetViews>
    <sheetView tabSelected="1" zoomScale="80" zoomScaleNormal="80" workbookViewId="0">
      <selection activeCell="E23" sqref="E23"/>
    </sheetView>
  </sheetViews>
  <sheetFormatPr defaultColWidth="8.85546875" defaultRowHeight="15.75"/>
  <cols>
    <col min="1" max="1" width="7.140625" style="1" customWidth="1"/>
    <col min="2" max="2" width="74.140625" style="1" customWidth="1"/>
    <col min="3" max="8" width="10.42578125" style="1" customWidth="1"/>
    <col min="9" max="16384" width="8.85546875" style="1"/>
  </cols>
  <sheetData>
    <row r="1" spans="1:13">
      <c r="A1" s="25" t="s">
        <v>0</v>
      </c>
      <c r="C1" s="3"/>
      <c r="D1" s="3"/>
      <c r="E1" s="3"/>
      <c r="F1" s="3"/>
      <c r="G1" s="3"/>
      <c r="M1" s="3" t="s">
        <v>1</v>
      </c>
    </row>
    <row r="2" spans="1:13">
      <c r="A2" s="25" t="s">
        <v>2</v>
      </c>
      <c r="C2" s="3"/>
      <c r="D2" s="3"/>
      <c r="E2" s="3"/>
      <c r="F2" s="3"/>
      <c r="G2" s="3"/>
      <c r="M2" s="3" t="s">
        <v>3</v>
      </c>
    </row>
    <row r="3" spans="1:13">
      <c r="A3" s="25" t="s">
        <v>24</v>
      </c>
      <c r="C3" s="3"/>
      <c r="D3" s="3"/>
      <c r="E3" s="3"/>
      <c r="F3" s="3"/>
      <c r="G3" s="3"/>
      <c r="M3" s="3" t="s">
        <v>5</v>
      </c>
    </row>
    <row r="4" spans="1:13">
      <c r="A4" s="3"/>
      <c r="C4" s="3"/>
      <c r="D4" s="3"/>
      <c r="E4" s="3"/>
      <c r="F4" s="3"/>
      <c r="G4" s="3"/>
      <c r="H4" s="3"/>
    </row>
    <row r="5" spans="1:13">
      <c r="C5" s="42"/>
      <c r="D5" s="42"/>
      <c r="E5" s="42"/>
      <c r="F5" s="42"/>
      <c r="G5" s="42"/>
      <c r="H5" s="42"/>
    </row>
    <row r="6" spans="1:13" ht="30" customHeight="1">
      <c r="A6" s="106" t="s">
        <v>31</v>
      </c>
      <c r="B6" s="107"/>
      <c r="C6" s="107"/>
      <c r="D6" s="107"/>
      <c r="E6" s="107"/>
      <c r="F6" s="107"/>
      <c r="G6" s="107"/>
      <c r="H6" s="107"/>
      <c r="I6" s="107"/>
      <c r="J6" s="107"/>
      <c r="K6" s="107"/>
      <c r="L6" s="107"/>
      <c r="M6" s="107"/>
    </row>
    <row r="7" spans="1:13" ht="24.95" customHeight="1">
      <c r="A7" s="135" t="s">
        <v>7</v>
      </c>
      <c r="B7" s="135" t="s">
        <v>8</v>
      </c>
      <c r="C7" s="138"/>
      <c r="D7" s="138"/>
      <c r="E7" s="138"/>
      <c r="F7" s="138"/>
      <c r="G7" s="138"/>
      <c r="H7" s="138"/>
      <c r="I7" s="138"/>
      <c r="J7" s="138"/>
      <c r="K7" s="138"/>
      <c r="L7" s="138"/>
      <c r="M7" s="138"/>
    </row>
    <row r="8" spans="1:13" ht="24.95" customHeight="1">
      <c r="A8" s="135"/>
      <c r="B8" s="135"/>
      <c r="C8" s="43" t="s">
        <v>177</v>
      </c>
      <c r="D8" s="103" t="s">
        <v>179</v>
      </c>
      <c r="E8" s="43" t="s">
        <v>178</v>
      </c>
      <c r="F8" s="43"/>
      <c r="G8" s="43"/>
      <c r="H8" s="43"/>
      <c r="I8" s="43"/>
      <c r="J8" s="43"/>
      <c r="K8" s="43"/>
      <c r="L8" s="43"/>
      <c r="M8" s="43"/>
    </row>
    <row r="9" spans="1:13" ht="20.100000000000001" customHeight="1">
      <c r="A9" s="27">
        <v>1</v>
      </c>
      <c r="B9" s="45" t="s">
        <v>32</v>
      </c>
      <c r="C9" s="27">
        <v>1</v>
      </c>
      <c r="D9" s="27">
        <v>1</v>
      </c>
      <c r="E9" s="27">
        <v>1</v>
      </c>
      <c r="F9" s="27"/>
      <c r="G9" s="27"/>
      <c r="H9" s="27"/>
      <c r="I9" s="27"/>
      <c r="J9" s="27"/>
      <c r="K9" s="27"/>
      <c r="L9" s="27"/>
      <c r="M9" s="27"/>
    </row>
    <row r="10" spans="1:13" ht="20.100000000000001" customHeight="1">
      <c r="A10" s="27">
        <v>2</v>
      </c>
      <c r="B10" s="45" t="s">
        <v>33</v>
      </c>
      <c r="C10" s="27">
        <v>1</v>
      </c>
      <c r="D10" s="27">
        <v>1</v>
      </c>
      <c r="E10" s="27">
        <v>1</v>
      </c>
      <c r="F10" s="27"/>
      <c r="G10" s="27"/>
      <c r="H10" s="27"/>
      <c r="I10" s="27"/>
      <c r="J10" s="27"/>
      <c r="K10" s="27"/>
      <c r="L10" s="27"/>
      <c r="M10" s="27"/>
    </row>
    <row r="11" spans="1:13">
      <c r="A11" s="27">
        <v>3</v>
      </c>
      <c r="B11" s="45" t="s">
        <v>34</v>
      </c>
      <c r="C11" s="27">
        <v>1</v>
      </c>
      <c r="D11" s="27">
        <v>1</v>
      </c>
      <c r="E11" s="27">
        <v>1</v>
      </c>
      <c r="F11" s="27"/>
      <c r="G11" s="27"/>
      <c r="H11" s="27"/>
      <c r="I11" s="27"/>
      <c r="J11" s="27"/>
      <c r="K11" s="27"/>
      <c r="L11" s="27"/>
      <c r="M11" s="27"/>
    </row>
    <row r="12" spans="1:13">
      <c r="A12" s="27">
        <v>4</v>
      </c>
      <c r="B12" s="45" t="s">
        <v>9</v>
      </c>
      <c r="C12" s="27">
        <v>1</v>
      </c>
      <c r="D12" s="27">
        <v>1</v>
      </c>
      <c r="E12" s="27">
        <v>1</v>
      </c>
      <c r="F12" s="27"/>
      <c r="G12" s="27"/>
      <c r="H12" s="27"/>
      <c r="I12" s="27"/>
      <c r="J12" s="27"/>
      <c r="K12" s="27"/>
      <c r="L12" s="27"/>
      <c r="M12" s="27"/>
    </row>
    <row r="13" spans="1:13">
      <c r="A13" s="27">
        <v>5</v>
      </c>
      <c r="B13" s="45" t="s">
        <v>35</v>
      </c>
      <c r="C13" s="27">
        <v>1</v>
      </c>
      <c r="D13" s="27">
        <v>1</v>
      </c>
      <c r="E13" s="27">
        <v>0</v>
      </c>
      <c r="F13" s="27"/>
      <c r="G13" s="27"/>
      <c r="H13" s="27"/>
      <c r="I13" s="27"/>
      <c r="J13" s="27"/>
      <c r="K13" s="27"/>
      <c r="L13" s="27"/>
      <c r="M13" s="27"/>
    </row>
    <row r="14" spans="1:13" ht="38.25">
      <c r="A14" s="27">
        <v>6</v>
      </c>
      <c r="B14" s="37" t="s">
        <v>36</v>
      </c>
      <c r="C14" s="27">
        <v>1</v>
      </c>
      <c r="D14" s="27">
        <v>1</v>
      </c>
      <c r="E14" s="27">
        <v>1</v>
      </c>
      <c r="F14" s="27"/>
      <c r="G14" s="27"/>
      <c r="H14" s="27"/>
      <c r="I14" s="27"/>
      <c r="J14" s="27"/>
      <c r="K14" s="27"/>
      <c r="L14" s="27"/>
      <c r="M14" s="27"/>
    </row>
    <row r="15" spans="1:13" ht="21" customHeight="1">
      <c r="A15" s="27">
        <v>7</v>
      </c>
      <c r="B15" s="45" t="s">
        <v>37</v>
      </c>
      <c r="C15" s="27">
        <v>1</v>
      </c>
      <c r="D15" s="27">
        <v>1</v>
      </c>
      <c r="E15" s="27">
        <v>1</v>
      </c>
      <c r="F15" s="27"/>
      <c r="G15" s="27"/>
      <c r="H15" s="27"/>
      <c r="I15" s="27"/>
      <c r="J15" s="27"/>
      <c r="K15" s="27"/>
      <c r="L15" s="27"/>
      <c r="M15" s="27"/>
    </row>
    <row r="16" spans="1:13">
      <c r="A16" s="27">
        <v>8</v>
      </c>
      <c r="B16" s="45" t="s">
        <v>38</v>
      </c>
      <c r="C16" s="27">
        <v>1</v>
      </c>
      <c r="D16" s="27">
        <v>1</v>
      </c>
      <c r="E16" s="27">
        <v>1</v>
      </c>
      <c r="F16" s="27"/>
      <c r="G16" s="27"/>
      <c r="H16" s="27"/>
      <c r="I16" s="27"/>
      <c r="J16" s="27"/>
      <c r="K16" s="27"/>
      <c r="L16" s="27"/>
      <c r="M16" s="27"/>
    </row>
    <row r="17" spans="1:13">
      <c r="A17" s="27">
        <v>9</v>
      </c>
      <c r="B17" s="45" t="s">
        <v>39</v>
      </c>
      <c r="C17" s="27">
        <v>1</v>
      </c>
      <c r="D17" s="27">
        <v>1</v>
      </c>
      <c r="E17" s="27">
        <v>1</v>
      </c>
      <c r="F17" s="27"/>
      <c r="G17" s="27"/>
      <c r="H17" s="27"/>
      <c r="I17" s="27"/>
      <c r="J17" s="27"/>
      <c r="K17" s="27"/>
      <c r="L17" s="27"/>
      <c r="M17" s="27"/>
    </row>
    <row r="18" spans="1:13">
      <c r="A18" s="27">
        <v>10</v>
      </c>
      <c r="B18" s="45" t="s">
        <v>40</v>
      </c>
      <c r="C18" s="27">
        <v>1</v>
      </c>
      <c r="D18" s="27">
        <v>1</v>
      </c>
      <c r="E18" s="27">
        <v>1</v>
      </c>
      <c r="F18" s="27"/>
      <c r="G18" s="27"/>
      <c r="H18" s="27"/>
      <c r="I18" s="27"/>
      <c r="J18" s="27"/>
      <c r="K18" s="27"/>
      <c r="L18" s="27"/>
      <c r="M18" s="27"/>
    </row>
    <row r="19" spans="1:13">
      <c r="A19" s="27">
        <v>11</v>
      </c>
      <c r="B19" s="45" t="s">
        <v>41</v>
      </c>
      <c r="C19" s="27">
        <v>1</v>
      </c>
      <c r="D19" s="27">
        <v>1</v>
      </c>
      <c r="E19" s="27">
        <v>1</v>
      </c>
      <c r="F19" s="27"/>
      <c r="G19" s="27"/>
      <c r="H19" s="27"/>
      <c r="I19" s="27"/>
      <c r="J19" s="27"/>
      <c r="K19" s="2"/>
      <c r="L19" s="27"/>
      <c r="M19" s="27"/>
    </row>
    <row r="20" spans="1:13">
      <c r="A20" s="27">
        <v>12</v>
      </c>
      <c r="B20" s="45" t="s">
        <v>42</v>
      </c>
      <c r="C20" s="27">
        <v>0</v>
      </c>
      <c r="D20" s="27">
        <v>1</v>
      </c>
      <c r="E20" s="27">
        <v>1</v>
      </c>
      <c r="F20" s="27"/>
      <c r="G20" s="27"/>
      <c r="H20" s="27"/>
      <c r="I20" s="27"/>
      <c r="J20" s="27"/>
      <c r="K20" s="27"/>
      <c r="L20" s="27"/>
      <c r="M20" s="27"/>
    </row>
    <row r="21" spans="1:13">
      <c r="A21" s="27">
        <v>13</v>
      </c>
      <c r="B21" s="45" t="s">
        <v>259</v>
      </c>
      <c r="C21" s="27">
        <v>1</v>
      </c>
      <c r="D21" s="27">
        <v>0</v>
      </c>
      <c r="E21" s="27">
        <v>1</v>
      </c>
      <c r="F21" s="27"/>
      <c r="G21" s="27"/>
      <c r="H21" s="27"/>
      <c r="I21" s="27"/>
      <c r="J21" s="27"/>
      <c r="K21" s="27"/>
      <c r="L21" s="27"/>
      <c r="M21" s="27"/>
    </row>
    <row r="22" spans="1:13" ht="25.5">
      <c r="A22" s="27">
        <v>14</v>
      </c>
      <c r="B22" s="45" t="s">
        <v>43</v>
      </c>
      <c r="C22" s="27">
        <v>1</v>
      </c>
      <c r="D22" s="27">
        <v>1</v>
      </c>
      <c r="E22" s="27">
        <v>1</v>
      </c>
      <c r="F22" s="27"/>
      <c r="G22" s="27"/>
      <c r="H22" s="27"/>
      <c r="I22" s="27"/>
      <c r="J22" s="27"/>
      <c r="K22" s="27"/>
      <c r="L22" s="27"/>
      <c r="M22" s="27"/>
    </row>
    <row r="23" spans="1:13">
      <c r="A23" s="108" t="s">
        <v>10</v>
      </c>
      <c r="B23" s="108"/>
      <c r="C23" s="46">
        <f t="shared" ref="C23:M23" si="0">IFERROR(AVERAGE(C9:C22),"-")</f>
        <v>0.9285714285714286</v>
      </c>
      <c r="D23" s="46">
        <f t="shared" si="0"/>
        <v>0.9285714285714286</v>
      </c>
      <c r="E23" s="46">
        <f t="shared" si="0"/>
        <v>0.9285714285714286</v>
      </c>
      <c r="F23" s="46" t="str">
        <f t="shared" si="0"/>
        <v>-</v>
      </c>
      <c r="G23" s="46" t="str">
        <f t="shared" si="0"/>
        <v>-</v>
      </c>
      <c r="H23" s="46" t="str">
        <f t="shared" si="0"/>
        <v>-</v>
      </c>
      <c r="I23" s="46" t="str">
        <f t="shared" si="0"/>
        <v>-</v>
      </c>
      <c r="J23" s="46" t="str">
        <f t="shared" si="0"/>
        <v>-</v>
      </c>
      <c r="K23" s="46" t="str">
        <f t="shared" si="0"/>
        <v>-</v>
      </c>
      <c r="L23" s="46" t="str">
        <f t="shared" si="0"/>
        <v>-</v>
      </c>
      <c r="M23" s="46" t="str">
        <f t="shared" si="0"/>
        <v>-</v>
      </c>
    </row>
    <row r="24" spans="1:13">
      <c r="A24" s="81"/>
      <c r="B24" s="81"/>
      <c r="C24" s="82"/>
      <c r="D24" s="82"/>
      <c r="E24" s="82"/>
      <c r="F24" s="82"/>
      <c r="G24" s="82"/>
      <c r="H24" s="82"/>
    </row>
    <row r="25" spans="1:13">
      <c r="A25" s="81"/>
      <c r="B25" s="81"/>
      <c r="C25" s="82"/>
      <c r="D25" s="82"/>
      <c r="E25" s="82"/>
      <c r="F25" s="82"/>
      <c r="G25" s="82"/>
      <c r="H25" s="82"/>
    </row>
    <row r="26" spans="1:13">
      <c r="A26" s="81"/>
      <c r="B26" s="81"/>
      <c r="C26" s="82"/>
      <c r="D26" s="82"/>
      <c r="E26" s="82"/>
      <c r="F26" s="82"/>
      <c r="G26" s="82"/>
      <c r="H26" s="82"/>
    </row>
  </sheetData>
  <mergeCells count="5">
    <mergeCell ref="A6:M6"/>
    <mergeCell ref="C7:M7"/>
    <mergeCell ref="A23:B23"/>
    <mergeCell ref="A7:A8"/>
    <mergeCell ref="B7:B8"/>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6" operator="containsText" id="{65FF7C95-E7B0-47D7-818E-50B5420DD707}">
            <xm:f>NOT(ISERROR(SEARCH(0,C9)))</xm:f>
            <xm:f>0</xm:f>
            <x14:dxf>
              <font>
                <color theme="0"/>
              </font>
              <fill>
                <patternFill patternType="solid">
                  <bgColor rgb="FFC00000"/>
                </patternFill>
              </fill>
            </x14:dxf>
          </x14:cfRule>
          <xm:sqref>F9:J19 C9:E22</xm:sqref>
        </x14:conditionalFormatting>
        <x14:conditionalFormatting xmlns:xm="http://schemas.microsoft.com/office/excel/2006/main">
          <x14:cfRule type="containsText" priority="3" operator="containsText" id="{54E46257-CA05-4C08-A22E-6C8CE0D1990A}">
            <xm:f>NOT(ISERROR(SEARCH(0,K9)))</xm:f>
            <xm:f>0</xm:f>
            <x14:dxf>
              <font>
                <color theme="0"/>
              </font>
              <fill>
                <patternFill patternType="solid">
                  <bgColor rgb="FFC00000"/>
                </patternFill>
              </fill>
            </x14:dxf>
          </x14:cfRule>
          <xm:sqref>K9:K18</xm:sqref>
        </x14:conditionalFormatting>
        <x14:conditionalFormatting xmlns:xm="http://schemas.microsoft.com/office/excel/2006/main">
          <x14:cfRule type="containsText" priority="1" operator="containsText" id="{F3FBC45E-DD4F-4551-AC82-E4A25EA07F31}">
            <xm:f>NOT(ISERROR(SEARCH(0,F9)))</xm:f>
            <xm:f>0</xm:f>
            <x14:dxf>
              <font>
                <color theme="0"/>
              </font>
              <fill>
                <patternFill patternType="solid">
                  <bgColor rgb="FFC00000"/>
                </patternFill>
              </fill>
            </x14:dxf>
          </x14:cfRule>
          <xm:sqref>L9:M19 F20:M22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M37"/>
  <sheetViews>
    <sheetView topLeftCell="A17" zoomScale="70" zoomScaleNormal="70" workbookViewId="0">
      <selection activeCell="A27" sqref="A27"/>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31</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2" spans="1:13">
      <c r="A12" s="29" t="s">
        <v>17</v>
      </c>
      <c r="B12" s="29" t="s">
        <v>12</v>
      </c>
      <c r="C12" s="29" t="s">
        <v>14</v>
      </c>
      <c r="D12" s="29" t="s">
        <v>18</v>
      </c>
    </row>
    <row r="13" spans="1:13">
      <c r="A13" s="49" t="inlineStr">
        <is>
          <t>3/2026</t>
        </is>
      </c>
      <c r="B13" s="1">
        <f>SUMPRODUCT(--('الأمن والحراسة'!$C$9:$C$22&amp;""="1"))</f>
        <v>13</v>
      </c>
      <c r="C13" s="31">
        <f>SUMPRODUCT(--('الأمن والحراسة'!$C$9:$C$22&amp;""="1"))+SUMPRODUCT(--('الأمن والحراسة'!$C$9:$C$22&amp;""="0"))</f>
        <v>14</v>
      </c>
      <c r="D13" s="28">
        <f>IFERROR(B13/C13,"")</f>
        <v>0.9285714285714286</v>
      </c>
    </row>
    <row r="14" spans="1:13">
      <c r="A14" s="49" t="inlineStr">
        <is>
          <t>6/2026</t>
        </is>
      </c>
      <c r="B14" s="31">
        <f>SUMPRODUCT(--('الأمن والحراسة'!$D$9:$D$22&amp;""="1"))</f>
        <v>13</v>
      </c>
      <c r="C14" s="31">
        <f>SUMPRODUCT(--('الأمن والحراسة'!$D$9:$D$22&amp;""="1"))+SUMPRODUCT(--('الأمن والحراسة'!$D$9:$D$22&amp;""="0"))</f>
        <v>14</v>
      </c>
      <c r="D14" s="28">
        <f>IFERROR(B14/C14,"")</f>
        <v>0.9285714285714286</v>
      </c>
    </row>
    <row r="15" spans="1:13">
      <c r="A15" s="49" t="inlineStr">
        <is>
          <t>9/2026</t>
        </is>
      </c>
      <c r="B15" s="31">
        <f>SUMPRODUCT(--('الأمن والحراسة'!$E$9:$E$22&amp;""="1"))</f>
        <v>13</v>
      </c>
      <c r="C15" s="31">
        <f>SUMPRODUCT(--('الأمن والحراسة'!$E$9:$E$22&amp;""="1"))+SUMPRODUCT(--('الأمن والحراسة'!$E$9:$E$22&amp;""="0"))</f>
        <v>14</v>
      </c>
      <c r="D15" s="28">
        <f>IFERROR(B15/C15,"")</f>
        <v>0.9285714285714286</v>
      </c>
    </row>
    <row r="16" spans="1:13">
      <c r="A16" s="30"/>
      <c r="B16" s="31"/>
      <c r="C16" s="31"/>
      <c r="D16" s="28" t="str">
        <f>IFERROR(B16/C16,"")</f>
        <v/>
      </c>
    </row>
    <row r="17" spans="1:13">
      <c r="A17" s="30"/>
      <c r="B17" s="31"/>
      <c r="C17" s="31"/>
      <c r="D17" s="28" t="str">
        <f>IFERROR(B17/C17,"")</f>
        <v/>
      </c>
    </row>
    <row r="18" spans="1:13">
      <c r="A18" s="30"/>
      <c r="B18" s="31"/>
      <c r="C18" s="31"/>
      <c r="D18" s="28" t="str">
        <f>IFERROR(B18/C18,"")</f>
        <v/>
      </c>
    </row>
    <row r="19" spans="1:13">
      <c r="A19" s="30"/>
      <c r="B19" s="31"/>
      <c r="C19" s="31"/>
      <c r="D19" s="28" t="str">
        <f>IFERROR(B19/C19,"")</f>
        <v/>
      </c>
    </row>
    <row r="20" spans="1:13">
      <c r="A20" s="49"/>
      <c r="B20" s="31"/>
      <c r="C20" s="31"/>
      <c r="D20" s="28" t="str">
        <f>IFERROR(B20/C20,"")</f>
        <v/>
      </c>
    </row>
    <row r="21" spans="1:13">
      <c r="A21" s="49"/>
      <c r="B21" s="31"/>
      <c r="C21" s="31"/>
      <c r="D21" s="28" t="str">
        <f>IFERROR(B21/C21,"")</f>
        <v/>
      </c>
    </row>
    <row r="22" spans="1:13">
      <c r="A22" s="49"/>
      <c r="B22" s="31"/>
      <c r="C22" s="31"/>
      <c r="D22" s="28" t="str">
        <f>IFERROR(B22/C22,"")</f>
        <v/>
      </c>
    </row>
    <row r="23" spans="1:13">
      <c r="A23" s="49"/>
      <c r="B23" s="31"/>
      <c r="C23" s="31"/>
      <c r="D23" s="28" t="str">
        <f>IFERROR(B23/C23,"")</f>
        <v/>
      </c>
    </row>
    <row r="24" spans="1:13">
      <c r="A24" s="126" t="s">
        <v>19</v>
      </c>
      <c r="B24" s="127"/>
      <c r="C24" s="128"/>
      <c r="D24" s="35">
        <f>AVERAGE(D13:D23)</f>
        <v>0.9285714285714285</v>
      </c>
    </row>
    <row r="26" spans="1:13" ht="23.45" customHeight="1">
      <c r="A26" s="36" t="s">
        <v>17</v>
      </c>
      <c r="B26" s="129" t="s">
        <v>20</v>
      </c>
      <c r="C26" s="129"/>
      <c r="D26" s="129"/>
      <c r="E26" s="129" t="s">
        <v>21</v>
      </c>
      <c r="F26" s="129"/>
      <c r="G26" s="129"/>
      <c r="H26" s="129"/>
      <c r="I26" s="129"/>
      <c r="J26" s="129"/>
      <c r="K26" s="129" t="s">
        <v>22</v>
      </c>
      <c r="L26" s="129"/>
      <c r="M26" s="36" t="s">
        <v>23</v>
      </c>
    </row>
    <row r="27" spans="1:13" ht="33" customHeight="1">
      <c r="A27" s="30"/>
      <c r="B27" s="109"/>
      <c r="C27" s="109"/>
      <c r="D27" s="109"/>
      <c r="E27" s="109"/>
      <c r="F27" s="109"/>
      <c r="G27" s="109"/>
      <c r="H27" s="109"/>
      <c r="I27" s="109"/>
      <c r="J27" s="109"/>
      <c r="K27" s="109"/>
      <c r="L27" s="109"/>
      <c r="M27" s="78"/>
    </row>
    <row r="28" spans="1:13" ht="33" customHeight="1">
      <c r="A28" s="30"/>
      <c r="B28" s="136"/>
      <c r="C28" s="136"/>
      <c r="D28" s="136"/>
      <c r="E28" s="136"/>
      <c r="F28" s="136"/>
      <c r="G28" s="136"/>
      <c r="H28" s="136"/>
      <c r="I28" s="136"/>
      <c r="J28" s="136"/>
      <c r="K28" s="136"/>
      <c r="L28" s="136"/>
      <c r="M28" s="39"/>
    </row>
    <row r="29" spans="1:13" ht="33" customHeight="1">
      <c r="A29" s="30"/>
      <c r="B29" s="109"/>
      <c r="C29" s="109"/>
      <c r="D29" s="109"/>
      <c r="E29" s="109"/>
      <c r="F29" s="109"/>
      <c r="G29" s="109"/>
      <c r="H29" s="109"/>
      <c r="I29" s="109"/>
      <c r="J29" s="109"/>
      <c r="K29" s="109"/>
      <c r="L29" s="109"/>
      <c r="M29" s="78"/>
    </row>
    <row r="30" spans="1:13" ht="33" customHeight="1">
      <c r="A30" s="30"/>
      <c r="B30" s="136"/>
      <c r="C30" s="136"/>
      <c r="D30" s="136"/>
      <c r="E30" s="136"/>
      <c r="F30" s="136"/>
      <c r="G30" s="136"/>
      <c r="H30" s="136"/>
      <c r="I30" s="136"/>
      <c r="J30" s="136"/>
      <c r="K30" s="136"/>
      <c r="L30" s="136"/>
      <c r="M30" s="39"/>
    </row>
    <row r="31" spans="1:13" ht="33" customHeight="1">
      <c r="A31" s="30"/>
      <c r="B31" s="109"/>
      <c r="C31" s="109"/>
      <c r="D31" s="109"/>
      <c r="E31" s="109"/>
      <c r="F31" s="109"/>
      <c r="G31" s="109"/>
      <c r="H31" s="109"/>
      <c r="I31" s="109"/>
      <c r="J31" s="109"/>
      <c r="K31" s="109"/>
      <c r="L31" s="109"/>
      <c r="M31" s="78"/>
    </row>
    <row r="32" spans="1:13" ht="33" customHeight="1">
      <c r="A32" s="30"/>
      <c r="B32" s="136"/>
      <c r="C32" s="136"/>
      <c r="D32" s="136"/>
      <c r="E32" s="136"/>
      <c r="F32" s="136"/>
      <c r="G32" s="136"/>
      <c r="H32" s="136"/>
      <c r="I32" s="136"/>
      <c r="J32" s="136"/>
      <c r="K32" s="136"/>
      <c r="L32" s="136"/>
      <c r="M32" s="39"/>
    </row>
    <row r="33" spans="1:13" ht="35.1" customHeight="1">
      <c r="A33" s="30"/>
      <c r="B33" s="109"/>
      <c r="C33" s="109"/>
      <c r="D33" s="109"/>
      <c r="E33" s="109"/>
      <c r="F33" s="109"/>
      <c r="G33" s="109"/>
      <c r="H33" s="109"/>
      <c r="I33" s="109"/>
      <c r="J33" s="109"/>
      <c r="K33" s="109"/>
      <c r="L33" s="109"/>
      <c r="M33" s="78"/>
    </row>
    <row r="34" spans="1:13" ht="35.1" customHeight="1">
      <c r="A34" s="49"/>
      <c r="B34" s="136"/>
      <c r="C34" s="136"/>
      <c r="D34" s="136"/>
      <c r="E34" s="136"/>
      <c r="F34" s="136"/>
      <c r="G34" s="136"/>
      <c r="H34" s="136"/>
      <c r="I34" s="136"/>
      <c r="J34" s="136"/>
      <c r="K34" s="136"/>
      <c r="L34" s="136"/>
      <c r="M34" s="39"/>
    </row>
    <row r="35" spans="1:13" ht="35.1" customHeight="1">
      <c r="A35" s="49"/>
      <c r="B35" s="109"/>
      <c r="C35" s="109"/>
      <c r="D35" s="109"/>
      <c r="E35" s="109"/>
      <c r="F35" s="109"/>
      <c r="G35" s="109"/>
      <c r="H35" s="109"/>
      <c r="I35" s="109"/>
      <c r="J35" s="109"/>
      <c r="K35" s="109"/>
      <c r="L35" s="109"/>
      <c r="M35" s="78"/>
    </row>
    <row r="36" spans="1:13" ht="35.1" customHeight="1">
      <c r="A36" s="49"/>
      <c r="B36" s="136"/>
      <c r="C36" s="136"/>
      <c r="D36" s="136"/>
      <c r="E36" s="136"/>
      <c r="F36" s="136"/>
      <c r="G36" s="136"/>
      <c r="H36" s="136"/>
      <c r="I36" s="136"/>
      <c r="J36" s="136"/>
      <c r="K36" s="136"/>
      <c r="L36" s="136"/>
      <c r="M36" s="39"/>
    </row>
    <row r="37" spans="1:13" ht="35.1" customHeight="1">
      <c r="A37" s="49"/>
      <c r="B37" s="109"/>
      <c r="C37" s="109"/>
      <c r="D37" s="109"/>
      <c r="E37" s="109"/>
      <c r="F37" s="109"/>
      <c r="G37" s="109"/>
      <c r="H37" s="109"/>
      <c r="I37" s="109"/>
      <c r="J37" s="109"/>
      <c r="K37" s="109"/>
      <c r="L37" s="109"/>
      <c r="M37" s="78"/>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7"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J19"/>
  <sheetViews>
    <sheetView topLeftCell="A3" zoomScale="85" zoomScaleNormal="85" workbookViewId="0">
      <selection activeCell="E10" sqref="E10"/>
    </sheetView>
  </sheetViews>
  <sheetFormatPr defaultColWidth="8.85546875" defaultRowHeight="15.75"/>
  <cols>
    <col min="1" max="1" width="7.140625" style="1" customWidth="1"/>
    <col min="2" max="2" width="74.140625" style="1" customWidth="1"/>
    <col min="3" max="7" width="10.42578125" style="1" customWidth="1"/>
    <col min="8" max="16384" width="8.85546875" style="1"/>
  </cols>
  <sheetData>
    <row r="1" spans="1:10">
      <c r="A1" s="25" t="s">
        <v>0</v>
      </c>
      <c r="C1" s="3"/>
      <c r="D1" s="3"/>
      <c r="E1" s="3"/>
      <c r="F1" s="3"/>
      <c r="G1" s="3"/>
      <c r="I1" s="3" t="s">
        <v>1</v>
      </c>
    </row>
    <row r="2" spans="1:10">
      <c r="A2" s="25" t="s">
        <v>2</v>
      </c>
      <c r="C2" s="3"/>
      <c r="D2" s="3"/>
      <c r="E2" s="3"/>
      <c r="F2" s="3"/>
      <c r="G2" s="3"/>
      <c r="I2" s="3" t="s">
        <v>3</v>
      </c>
    </row>
    <row r="3" spans="1:10">
      <c r="A3" s="3" t="s">
        <v>44</v>
      </c>
      <c r="B3" s="3" t="s">
        <v>24</v>
      </c>
      <c r="C3" s="3"/>
      <c r="D3" s="3"/>
      <c r="E3" s="3"/>
      <c r="F3" s="3"/>
      <c r="G3" s="3"/>
      <c r="I3" s="3" t="s">
        <v>5</v>
      </c>
    </row>
    <row r="4" spans="1:10">
      <c r="A4" s="3"/>
      <c r="C4" s="3"/>
      <c r="D4" s="3"/>
      <c r="E4" s="3"/>
      <c r="F4" s="3"/>
      <c r="G4" s="3"/>
    </row>
    <row r="5" spans="1:10">
      <c r="C5" s="42"/>
      <c r="D5" s="42"/>
      <c r="E5" s="42"/>
      <c r="F5" s="42"/>
      <c r="G5" s="42"/>
    </row>
    <row r="6" spans="1:10" ht="30" customHeight="1">
      <c r="A6" s="106" t="s">
        <v>45</v>
      </c>
      <c r="B6" s="107"/>
      <c r="C6" s="107"/>
      <c r="D6" s="107"/>
      <c r="E6" s="107"/>
      <c r="F6" s="107"/>
      <c r="G6" s="107"/>
      <c r="H6" s="107"/>
      <c r="I6" s="107"/>
      <c r="J6" s="47"/>
    </row>
    <row r="7" spans="1:10" ht="24.95" customHeight="1">
      <c r="A7" s="135" t="s">
        <v>7</v>
      </c>
      <c r="B7" s="135" t="s">
        <v>8</v>
      </c>
      <c r="C7" s="139" t="s">
        <v>26</v>
      </c>
      <c r="D7" s="138"/>
      <c r="E7" s="138"/>
      <c r="F7" s="138"/>
      <c r="G7" s="138"/>
      <c r="H7" s="138"/>
      <c r="I7" s="138"/>
    </row>
    <row r="8" spans="1:10" ht="24.95" customHeight="1">
      <c r="A8" s="135"/>
      <c r="B8" s="135"/>
      <c r="C8" s="43" t="s">
        <v>177</v>
      </c>
      <c r="D8" s="103" t="s">
        <v>179</v>
      </c>
      <c r="E8" s="43" t="s">
        <v>178</v>
      </c>
      <c r="G8" s="43"/>
      <c r="H8" s="43"/>
      <c r="I8" s="43"/>
    </row>
    <row r="9" spans="1:10" ht="20.100000000000001" customHeight="1">
      <c r="A9" s="27">
        <v>1</v>
      </c>
      <c r="B9" s="45" t="s">
        <v>46</v>
      </c>
      <c r="C9" s="27">
        <v>1</v>
      </c>
      <c r="D9" s="27">
        <v>1</v>
      </c>
      <c r="E9" s="27">
        <v>1</v>
      </c>
      <c r="F9" s="27"/>
      <c r="G9" s="27"/>
      <c r="H9" s="27"/>
      <c r="I9" s="27"/>
    </row>
    <row r="10" spans="1:10" ht="20.100000000000001" customHeight="1">
      <c r="A10" s="27">
        <v>2</v>
      </c>
      <c r="B10" s="45" t="s">
        <v>47</v>
      </c>
      <c r="C10" s="27">
        <v>1</v>
      </c>
      <c r="D10" s="27">
        <v>1</v>
      </c>
      <c r="E10" s="27">
        <v>1</v>
      </c>
      <c r="F10" s="27"/>
      <c r="G10" s="27"/>
      <c r="H10" s="27"/>
      <c r="I10" s="27"/>
    </row>
    <row r="11" spans="1:10" ht="20.100000000000001" customHeight="1">
      <c r="A11" s="108" t="s">
        <v>10</v>
      </c>
      <c r="B11" s="108"/>
      <c r="C11" s="46">
        <f t="shared" ref="C11:I11" si="0">IFERROR(AVERAGE(C9:C10),"-")</f>
        <v>1</v>
      </c>
      <c r="D11" s="46">
        <f t="shared" si="0"/>
        <v>1</v>
      </c>
      <c r="E11" s="46">
        <f t="shared" si="0"/>
        <v>1</v>
      </c>
      <c r="F11" s="46" t="str">
        <f t="shared" si="0"/>
        <v>-</v>
      </c>
      <c r="G11" s="46" t="str">
        <f t="shared" si="0"/>
        <v>-</v>
      </c>
      <c r="H11" s="46" t="str">
        <f t="shared" si="0"/>
        <v>-</v>
      </c>
      <c r="I11" s="46" t="str">
        <f t="shared" si="0"/>
        <v>-</v>
      </c>
    </row>
    <row r="13" spans="1:10" ht="30" customHeight="1">
      <c r="A13" s="106"/>
      <c r="B13" s="107"/>
      <c r="C13" s="107"/>
      <c r="D13" s="107"/>
      <c r="E13" s="107"/>
      <c r="F13" s="107"/>
      <c r="G13" s="107"/>
      <c r="H13" s="107"/>
      <c r="I13" s="107"/>
      <c r="J13" s="47"/>
    </row>
    <row r="14" spans="1:10" ht="24.95" customHeight="1">
      <c r="A14" s="135"/>
      <c r="B14" s="135"/>
      <c r="C14" s="139"/>
      <c r="D14" s="138"/>
      <c r="E14" s="138"/>
      <c r="F14" s="138"/>
      <c r="G14" s="138"/>
      <c r="H14" s="138"/>
      <c r="I14" s="138"/>
    </row>
    <row r="15" spans="1:10" ht="24.95" customHeight="1">
      <c r="A15" s="135"/>
      <c r="B15" s="135"/>
      <c r="C15" s="43"/>
      <c r="D15" s="43"/>
      <c r="E15" s="43"/>
      <c r="F15" s="43"/>
      <c r="G15" s="43"/>
      <c r="H15" s="43"/>
      <c r="I15" s="80"/>
    </row>
    <row r="16" spans="1:10" ht="20.100000000000001" customHeight="1">
      <c r="A16" s="27"/>
      <c r="B16" s="45"/>
      <c r="C16" s="27"/>
      <c r="D16" s="27"/>
      <c r="E16" s="27"/>
      <c r="F16" s="27"/>
      <c r="G16" s="27"/>
      <c r="H16" s="27"/>
      <c r="I16" s="27"/>
    </row>
    <row r="17" spans="1:9" ht="20.100000000000001" customHeight="1">
      <c r="A17" s="27"/>
      <c r="B17" s="45"/>
      <c r="C17" s="27"/>
      <c r="D17" s="27"/>
      <c r="E17" s="27"/>
      <c r="F17" s="27"/>
      <c r="G17" s="27"/>
      <c r="H17" s="27"/>
      <c r="I17" s="27"/>
    </row>
    <row r="18" spans="1:9" ht="20.100000000000001" customHeight="1">
      <c r="A18" s="27"/>
      <c r="B18" s="45"/>
      <c r="C18" s="27"/>
      <c r="D18" s="27"/>
      <c r="E18" s="27"/>
      <c r="F18" s="27"/>
      <c r="G18" s="27"/>
      <c r="H18" s="27"/>
      <c r="I18" s="27"/>
    </row>
    <row r="19" spans="1:9" ht="20.100000000000001" customHeight="1">
      <c r="A19" s="108"/>
      <c r="B19" s="108"/>
      <c r="C19" s="46"/>
      <c r="D19" s="46"/>
      <c r="E19" s="46"/>
      <c r="F19" s="46"/>
      <c r="G19" s="46"/>
      <c r="H19" s="46"/>
      <c r="I19" s="46"/>
    </row>
  </sheetData>
  <mergeCells count="10">
    <mergeCell ref="A6:I6"/>
    <mergeCell ref="C7:I7"/>
    <mergeCell ref="A11:B11"/>
    <mergeCell ref="A13:I13"/>
    <mergeCell ref="C14:I14"/>
    <mergeCell ref="A19:B19"/>
    <mergeCell ref="A7:A8"/>
    <mergeCell ref="A14:A15"/>
    <mergeCell ref="B7:B8"/>
    <mergeCell ref="B14:B15"/>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3" operator="containsText" id="{E94A8790-215C-41E9-AFD0-5F11F0F2F517}">
            <xm:f>NOT(ISERROR(SEARCH(0,C9)))</xm:f>
            <xm:f>0</xm:f>
            <x14:dxf>
              <font>
                <color theme="0"/>
              </font>
              <fill>
                <patternFill patternType="solid">
                  <bgColor rgb="FFC00000"/>
                </patternFill>
              </fill>
            </x14:dxf>
          </x14:cfRule>
          <xm:sqref>C9:I10</xm:sqref>
        </x14:conditionalFormatting>
        <x14:conditionalFormatting xmlns:xm="http://schemas.microsoft.com/office/excel/2006/main">
          <x14:cfRule type="containsText" priority="1" operator="containsText" id="{FFA1A2C8-10F5-465E-885B-6AB69C214C5F}">
            <xm:f>NOT(ISERROR(SEARCH(0,C16)))</xm:f>
            <xm:f>0</xm:f>
            <x14:dxf>
              <font>
                <color theme="0"/>
              </font>
              <fill>
                <patternFill patternType="solid">
                  <bgColor rgb="FFC00000"/>
                </patternFill>
              </fill>
            </x14:dxf>
          </x14:cfRule>
          <xm:sqref>C16:I18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M37"/>
  <sheetViews>
    <sheetView topLeftCell="A8" zoomScale="70" zoomScaleNormal="70" workbookViewId="0">
      <selection activeCell="B18" sqref="B18"/>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B1" s="25"/>
      <c r="M1" s="3" t="s">
        <v>1</v>
      </c>
    </row>
    <row r="2" spans="1:13">
      <c r="A2" s="25" t="s">
        <v>2</v>
      </c>
      <c r="B2" s="25"/>
      <c r="M2" s="3" t="s">
        <v>3</v>
      </c>
    </row>
    <row r="3" spans="1:13">
      <c r="A3" s="25" t="s">
        <v>24</v>
      </c>
      <c r="C3" s="3"/>
      <c r="D3" s="3"/>
      <c r="E3" s="3"/>
      <c r="F3" s="3"/>
      <c r="J3" s="3"/>
      <c r="L3" s="3"/>
      <c r="M3" s="3" t="s">
        <v>5</v>
      </c>
    </row>
    <row r="4" spans="1:13">
      <c r="A4" s="3"/>
      <c r="M4" s="3"/>
    </row>
    <row r="6" spans="1:13" ht="32.1" customHeight="1">
      <c r="A6" s="107" t="s">
        <v>48</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2" spans="1:13">
      <c r="A12" s="29" t="s">
        <v>17</v>
      </c>
      <c r="B12" s="29" t="s">
        <v>12</v>
      </c>
      <c r="C12" s="29" t="s">
        <v>14</v>
      </c>
      <c r="D12" s="29" t="s">
        <v>18</v>
      </c>
    </row>
    <row r="13" spans="1:13">
      <c r="A13" s="49" t="inlineStr">
        <is>
          <t>3/2026</t>
        </is>
      </c>
      <c r="B13" s="31">
        <f>SUMPRODUCT(--('تداول النفايات'!$C$9:$C$10&amp;""="1"))</f>
        <v>2</v>
      </c>
      <c r="C13" s="31">
        <f>SUMPRODUCT(--('تداول النفايات'!$C$9:$C$10&amp;""="1"))+SUMPRODUCT(--('تداول النفايات'!$C$9:$C$10&amp;""="0"))</f>
        <v>2</v>
      </c>
      <c r="D13" s="28">
        <f>IFERROR(B13/C13,"")</f>
        <v>1</v>
      </c>
    </row>
    <row r="14" spans="1:13">
      <c r="A14" s="49" t="inlineStr">
        <is>
          <t>6/2026</t>
        </is>
      </c>
      <c r="B14" s="31">
        <f>SUMPRODUCT(--('تداول النفايات'!$D$9:$D$10&amp;""="1"))</f>
        <v>2</v>
      </c>
      <c r="C14" s="31">
        <f>SUMPRODUCT(--('تداول النفايات'!$D$9:$D$10&amp;""="1"))+SUMPRODUCT(--('تداول النفايات'!$D$9:$D$10&amp;""="0"))</f>
        <v>2</v>
      </c>
      <c r="D14" s="28">
        <f>IFERROR(B14/C14,"")</f>
        <v>1</v>
      </c>
    </row>
    <row r="15" spans="1:13">
      <c r="A15" s="49" t="inlineStr">
        <is>
          <t>9/2026</t>
        </is>
      </c>
      <c r="B15" s="31">
        <f>SUMPRODUCT(--('تداول النفايات'!$E$9:$E$10&amp;""="1"))</f>
        <v>2</v>
      </c>
      <c r="C15" s="31">
        <f>SUMPRODUCT(--('تداول النفايات'!$E$9:$E$10&amp;""="1"))+SUMPRODUCT(--('تداول النفايات'!$E$9:$E$10&amp;""="0"))</f>
        <v>2</v>
      </c>
      <c r="D15" s="28">
        <f>IFERROR(B15/C15,"")</f>
        <v>1</v>
      </c>
    </row>
    <row r="16" spans="1:13">
      <c r="A16" s="30"/>
      <c r="B16" s="31"/>
      <c r="C16" s="31"/>
      <c r="D16" s="28" t="str">
        <f>IFERROR(B16/C16,"")</f>
        <v/>
      </c>
    </row>
    <row r="17" spans="1:13">
      <c r="A17" s="30"/>
      <c r="B17" s="31"/>
      <c r="C17" s="31"/>
      <c r="D17" s="28" t="str">
        <f>IFERROR(B17/C17,"")</f>
        <v/>
      </c>
    </row>
    <row r="18" spans="1:13">
      <c r="A18" s="30"/>
      <c r="B18" s="31"/>
      <c r="C18" s="31"/>
      <c r="D18" s="28" t="str">
        <f>IFERROR(B18/C18,"")</f>
        <v/>
      </c>
    </row>
    <row r="19" spans="1:13">
      <c r="A19" s="30"/>
      <c r="B19" s="31"/>
      <c r="C19" s="31"/>
      <c r="D19" s="28" t="str">
        <f>IFERROR(B19/C19,"")</f>
        <v/>
      </c>
    </row>
    <row r="20" spans="1:13">
      <c r="A20" s="49"/>
      <c r="B20" s="31"/>
      <c r="C20" s="31"/>
      <c r="D20" s="28" t="str">
        <f>IFERROR(B20/C20,"")</f>
        <v/>
      </c>
    </row>
    <row r="21" spans="1:13">
      <c r="A21" s="49"/>
      <c r="B21" s="31"/>
      <c r="C21" s="31"/>
      <c r="D21" s="28" t="str">
        <f>IFERROR(B21/C21,"")</f>
        <v/>
      </c>
    </row>
    <row r="22" spans="1:13">
      <c r="A22" s="49"/>
      <c r="B22" s="31"/>
      <c r="C22" s="31"/>
      <c r="D22" s="28" t="str">
        <f>IFERROR(B22/C22,"")</f>
        <v/>
      </c>
    </row>
    <row r="23" spans="1:13">
      <c r="A23" s="49"/>
      <c r="B23" s="31"/>
      <c r="C23" s="31"/>
      <c r="D23" s="28" t="str">
        <f>IFERROR(B23/C23,"")</f>
        <v/>
      </c>
    </row>
    <row r="24" spans="1:13">
      <c r="A24" s="140" t="s">
        <v>19</v>
      </c>
      <c r="B24" s="140"/>
      <c r="C24" s="140"/>
      <c r="D24" s="35">
        <f>AVERAGE(D13:D23)</f>
        <v>1</v>
      </c>
    </row>
    <row r="26" spans="1:13" ht="23.45" customHeight="1">
      <c r="A26" s="36" t="s">
        <v>17</v>
      </c>
      <c r="B26" s="129" t="s">
        <v>20</v>
      </c>
      <c r="C26" s="129"/>
      <c r="D26" s="129"/>
      <c r="E26" s="129" t="s">
        <v>21</v>
      </c>
      <c r="F26" s="129"/>
      <c r="G26" s="129"/>
      <c r="H26" s="129"/>
      <c r="I26" s="129"/>
      <c r="J26" s="129"/>
      <c r="K26" s="129" t="s">
        <v>22</v>
      </c>
      <c r="L26" s="129"/>
      <c r="M26" s="36" t="s">
        <v>23</v>
      </c>
    </row>
    <row r="27" spans="1:13">
      <c r="A27" s="27"/>
      <c r="B27" s="137"/>
      <c r="C27" s="137"/>
      <c r="D27" s="137"/>
      <c r="E27" s="137"/>
      <c r="F27" s="137"/>
      <c r="G27" s="137"/>
      <c r="H27" s="137"/>
      <c r="I27" s="137"/>
      <c r="J27" s="137"/>
      <c r="K27" s="137"/>
      <c r="L27" s="137"/>
      <c r="M27" s="37"/>
    </row>
    <row r="28" spans="1:13">
      <c r="A28" s="72"/>
      <c r="B28" s="136"/>
      <c r="C28" s="136"/>
      <c r="D28" s="136"/>
      <c r="E28" s="136"/>
      <c r="F28" s="136"/>
      <c r="G28" s="136"/>
      <c r="H28" s="136"/>
      <c r="I28" s="136"/>
      <c r="J28" s="136"/>
      <c r="K28" s="136"/>
      <c r="L28" s="136"/>
      <c r="M28" s="39"/>
    </row>
    <row r="29" spans="1:13">
      <c r="A29" s="27"/>
      <c r="B29" s="137"/>
      <c r="C29" s="137"/>
      <c r="D29" s="137"/>
      <c r="E29" s="137"/>
      <c r="F29" s="137"/>
      <c r="G29" s="137"/>
      <c r="H29" s="137"/>
      <c r="I29" s="137"/>
      <c r="J29" s="137"/>
      <c r="K29" s="137"/>
      <c r="L29" s="137"/>
      <c r="M29" s="37"/>
    </row>
    <row r="30" spans="1:13">
      <c r="A30" s="72"/>
      <c r="B30" s="136"/>
      <c r="C30" s="136"/>
      <c r="D30" s="136"/>
      <c r="E30" s="136"/>
      <c r="F30" s="136"/>
      <c r="G30" s="136"/>
      <c r="H30" s="136"/>
      <c r="I30" s="136"/>
      <c r="J30" s="136"/>
      <c r="K30" s="136"/>
      <c r="L30" s="136"/>
      <c r="M30" s="39"/>
    </row>
    <row r="31" spans="1:13">
      <c r="A31" s="27"/>
      <c r="B31" s="137"/>
      <c r="C31" s="137"/>
      <c r="D31" s="137"/>
      <c r="E31" s="137"/>
      <c r="F31" s="137"/>
      <c r="G31" s="137"/>
      <c r="H31" s="137"/>
      <c r="I31" s="137"/>
      <c r="J31" s="137"/>
      <c r="K31" s="137"/>
      <c r="L31" s="137"/>
      <c r="M31" s="37"/>
    </row>
    <row r="32" spans="1:13">
      <c r="A32" s="72"/>
      <c r="B32" s="136"/>
      <c r="C32" s="136"/>
      <c r="D32" s="136"/>
      <c r="E32" s="136"/>
      <c r="F32" s="136"/>
      <c r="G32" s="136"/>
      <c r="H32" s="136"/>
      <c r="I32" s="136"/>
      <c r="J32" s="136"/>
      <c r="K32" s="136"/>
      <c r="L32" s="136"/>
      <c r="M32" s="39"/>
    </row>
    <row r="33" spans="1:13">
      <c r="A33" s="27"/>
      <c r="B33" s="137"/>
      <c r="C33" s="137"/>
      <c r="D33" s="137"/>
      <c r="E33" s="137"/>
      <c r="F33" s="137"/>
      <c r="G33" s="137"/>
      <c r="H33" s="137"/>
      <c r="I33" s="137"/>
      <c r="J33" s="137"/>
      <c r="K33" s="137"/>
      <c r="L33" s="137"/>
      <c r="M33" s="37"/>
    </row>
    <row r="34" spans="1:13">
      <c r="A34" s="73"/>
      <c r="B34" s="136"/>
      <c r="C34" s="136"/>
      <c r="D34" s="136"/>
      <c r="E34" s="136"/>
      <c r="F34" s="136"/>
      <c r="G34" s="136"/>
      <c r="H34" s="136"/>
      <c r="I34" s="136"/>
      <c r="J34" s="136"/>
      <c r="K34" s="136"/>
      <c r="L34" s="136"/>
      <c r="M34" s="39"/>
    </row>
    <row r="35" spans="1:13">
      <c r="A35" s="56"/>
      <c r="B35" s="137"/>
      <c r="C35" s="137"/>
      <c r="D35" s="137"/>
      <c r="E35" s="137"/>
      <c r="F35" s="137"/>
      <c r="G35" s="137"/>
      <c r="H35" s="137"/>
      <c r="I35" s="137"/>
      <c r="J35" s="137"/>
      <c r="K35" s="137"/>
      <c r="L35" s="137"/>
      <c r="M35" s="37"/>
    </row>
    <row r="36" spans="1:13">
      <c r="A36" s="73"/>
      <c r="B36" s="136"/>
      <c r="C36" s="136"/>
      <c r="D36" s="136"/>
      <c r="E36" s="136"/>
      <c r="F36" s="136"/>
      <c r="G36" s="136"/>
      <c r="H36" s="136"/>
      <c r="I36" s="136"/>
      <c r="J36" s="136"/>
      <c r="K36" s="136"/>
      <c r="L36" s="136"/>
      <c r="M36" s="39"/>
    </row>
    <row r="37" spans="1:13">
      <c r="A37" s="56"/>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7"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pageSetUpPr fitToPage="1"/>
  </sheetPr>
  <dimension ref="A1:P12"/>
  <sheetViews>
    <sheetView zoomScale="70" zoomScaleNormal="70" workbookViewId="0">
      <selection activeCell="E11" sqref="E11"/>
    </sheetView>
  </sheetViews>
  <sheetFormatPr defaultColWidth="8.85546875" defaultRowHeight="15.75"/>
  <cols>
    <col min="1" max="1" width="7.140625" style="1" customWidth="1"/>
    <col min="2" max="2" width="74.140625" style="1" customWidth="1"/>
    <col min="3" max="7" width="10.42578125" style="1" customWidth="1"/>
    <col min="8" max="10" width="8.85546875" style="1"/>
    <col min="11" max="11" width="10.42578125" style="1" customWidth="1"/>
    <col min="12" max="16384" width="8.85546875" style="1"/>
  </cols>
  <sheetData>
    <row r="1" spans="1:16">
      <c r="A1" s="25" t="s">
        <v>0</v>
      </c>
      <c r="B1" s="25"/>
      <c r="C1" s="3"/>
      <c r="D1" s="3"/>
      <c r="E1" s="3"/>
      <c r="F1" s="3"/>
      <c r="G1" s="3"/>
      <c r="M1" s="3" t="s">
        <v>1</v>
      </c>
    </row>
    <row r="2" spans="1:16">
      <c r="A2" s="25" t="s">
        <v>2</v>
      </c>
      <c r="B2" s="25"/>
      <c r="C2" s="3"/>
      <c r="D2" s="3"/>
      <c r="E2" s="3"/>
      <c r="F2" s="3"/>
      <c r="G2" s="3"/>
      <c r="M2" s="3" t="s">
        <v>3</v>
      </c>
    </row>
    <row r="3" spans="1:16">
      <c r="A3" s="25" t="s">
        <v>24</v>
      </c>
      <c r="C3" s="3"/>
      <c r="D3" s="3"/>
      <c r="E3" s="3"/>
      <c r="F3" s="3"/>
      <c r="J3" s="3"/>
      <c r="L3" s="3"/>
      <c r="M3" s="3" t="s">
        <v>5</v>
      </c>
    </row>
    <row r="4" spans="1:16">
      <c r="A4" s="3"/>
      <c r="C4" s="3"/>
      <c r="D4" s="3"/>
      <c r="E4" s="3"/>
      <c r="F4" s="3"/>
      <c r="G4" s="3"/>
      <c r="K4" s="3"/>
    </row>
    <row r="5" spans="1:16">
      <c r="C5" s="42"/>
      <c r="D5" s="42"/>
      <c r="E5" s="42"/>
      <c r="F5" s="42"/>
      <c r="G5" s="42"/>
      <c r="K5" s="42"/>
    </row>
    <row r="6" spans="1:16" ht="30" customHeight="1">
      <c r="A6" s="106" t="s">
        <v>49</v>
      </c>
      <c r="B6" s="107"/>
      <c r="C6" s="107"/>
      <c r="D6" s="107"/>
      <c r="E6" s="107"/>
      <c r="F6" s="107"/>
      <c r="G6" s="107"/>
      <c r="H6" s="107"/>
      <c r="I6" s="107"/>
      <c r="J6" s="107"/>
      <c r="K6" s="107"/>
      <c r="L6" s="107"/>
      <c r="M6" s="107"/>
      <c r="N6" s="47"/>
      <c r="O6" s="47"/>
      <c r="P6" s="47"/>
    </row>
    <row r="7" spans="1:16" ht="24.95" customHeight="1">
      <c r="A7" s="135" t="s">
        <v>7</v>
      </c>
      <c r="B7" s="135" t="s">
        <v>8</v>
      </c>
      <c r="C7" s="133" t="s">
        <v>26</v>
      </c>
      <c r="D7" s="134"/>
      <c r="E7" s="134"/>
      <c r="F7" s="134"/>
      <c r="G7" s="134"/>
      <c r="H7" s="134"/>
      <c r="I7" s="134"/>
      <c r="J7" s="134"/>
      <c r="K7" s="134"/>
      <c r="L7" s="134"/>
      <c r="M7" s="134"/>
    </row>
    <row r="8" spans="1:16" ht="24.95" customHeight="1">
      <c r="A8" s="135"/>
      <c r="B8" s="135"/>
      <c r="C8" s="43" t="s">
        <v>177</v>
      </c>
      <c r="D8" s="103" t="s">
        <v>179</v>
      </c>
      <c r="E8" s="43" t="s">
        <v>178</v>
      </c>
      <c r="F8" s="43"/>
      <c r="G8" s="43"/>
      <c r="H8" s="43"/>
      <c r="I8" s="43"/>
      <c r="J8" s="43"/>
      <c r="K8" s="43"/>
      <c r="L8" s="43"/>
      <c r="M8" s="43"/>
    </row>
    <row r="9" spans="1:16" ht="20.100000000000001" customHeight="1">
      <c r="A9" s="27">
        <v>1</v>
      </c>
      <c r="B9" s="45" t="s">
        <v>50</v>
      </c>
      <c r="C9" s="27">
        <v>1</v>
      </c>
      <c r="D9" s="27">
        <v>1</v>
      </c>
      <c r="E9" s="27">
        <v>1</v>
      </c>
      <c r="F9" s="27"/>
      <c r="G9" s="27"/>
      <c r="H9" s="27"/>
      <c r="I9" s="27"/>
      <c r="J9" s="27"/>
      <c r="K9" s="27"/>
      <c r="L9" s="27"/>
      <c r="M9" s="27"/>
    </row>
    <row r="10" spans="1:16" ht="22.5" customHeight="1">
      <c r="A10" s="72">
        <v>2</v>
      </c>
      <c r="B10" s="74" t="s">
        <v>51</v>
      </c>
      <c r="C10" s="72">
        <v>1</v>
      </c>
      <c r="D10" s="72">
        <v>1</v>
      </c>
      <c r="E10" s="72">
        <v>1</v>
      </c>
      <c r="F10" s="72"/>
      <c r="G10" s="72"/>
      <c r="H10" s="72"/>
      <c r="I10" s="72"/>
      <c r="J10" s="72"/>
      <c r="K10" s="72"/>
      <c r="L10" s="72"/>
      <c r="M10" s="72"/>
    </row>
    <row r="11" spans="1:16" ht="30.75" customHeight="1">
      <c r="A11" s="27">
        <v>3</v>
      </c>
      <c r="B11" s="45" t="s">
        <v>52</v>
      </c>
      <c r="C11" s="27">
        <v>1</v>
      </c>
      <c r="D11" s="27">
        <v>1</v>
      </c>
      <c r="E11" s="27">
        <v>1</v>
      </c>
      <c r="F11" s="27"/>
      <c r="G11" s="27"/>
      <c r="H11" s="27"/>
      <c r="I11" s="27"/>
      <c r="J11" s="27"/>
      <c r="K11" s="27"/>
      <c r="L11" s="27"/>
      <c r="M11" s="27"/>
    </row>
    <row r="12" spans="1:16" ht="20.100000000000001" customHeight="1">
      <c r="A12" s="108" t="s">
        <v>10</v>
      </c>
      <c r="B12" s="108"/>
      <c r="C12" s="46">
        <f t="shared" ref="C12:I12" si="0">IFERROR(AVERAGE(C9:C11),"-")</f>
        <v>1</v>
      </c>
      <c r="D12" s="46">
        <f t="shared" si="0"/>
        <v>1</v>
      </c>
      <c r="E12" s="46">
        <f t="shared" si="0"/>
        <v>1</v>
      </c>
      <c r="F12" s="46" t="str">
        <f t="shared" si="0"/>
        <v>-</v>
      </c>
      <c r="G12" s="46" t="str">
        <f t="shared" si="0"/>
        <v>-</v>
      </c>
      <c r="H12" s="46" t="str">
        <f t="shared" si="0"/>
        <v>-</v>
      </c>
      <c r="I12" s="46" t="str">
        <f t="shared" si="0"/>
        <v>-</v>
      </c>
      <c r="J12" s="46" t="str">
        <f>IFERROR(AVERAGE(I9:I11),"-")</f>
        <v>-</v>
      </c>
      <c r="K12" s="46" t="str">
        <f>IFERROR(AVERAGE(K9:K11),"-")</f>
        <v>-</v>
      </c>
      <c r="L12" s="46" t="str">
        <f t="shared" ref="L12:M12" si="1">IFERROR(AVERAGE(L9:L11),"-")</f>
        <v>-</v>
      </c>
      <c r="M12" s="46" t="str">
        <f t="shared" si="1"/>
        <v>-</v>
      </c>
    </row>
  </sheetData>
  <mergeCells count="5">
    <mergeCell ref="A6:M6"/>
    <mergeCell ref="C7:M7"/>
    <mergeCell ref="A12:B12"/>
    <mergeCell ref="A7:A8"/>
    <mergeCell ref="B7:B8"/>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DBCB8A51-420E-4B4B-A818-DBCE5AE73753}">
            <xm:f>NOT(ISERROR(SEARCH(0,C9)))</xm:f>
            <xm:f>0</xm:f>
            <x14:dxf>
              <font>
                <color theme="0"/>
              </font>
              <fill>
                <patternFill patternType="solid">
                  <bgColor rgb="FFC00000"/>
                </patternFill>
              </fill>
            </x14:dxf>
          </x14:cfRule>
          <xm:sqref>C9:M11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pageSetUpPr fitToPage="1"/>
  </sheetPr>
  <dimension ref="A1:M37"/>
  <sheetViews>
    <sheetView topLeftCell="A6" zoomScale="80" zoomScaleNormal="80" workbookViewId="0">
      <selection activeCell="B21" sqref="B21"/>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49</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2" spans="1:13">
      <c r="A12" s="29" t="s">
        <v>17</v>
      </c>
      <c r="B12" s="29" t="s">
        <v>12</v>
      </c>
      <c r="C12" s="29" t="s">
        <v>14</v>
      </c>
      <c r="D12" s="29" t="s">
        <v>18</v>
      </c>
    </row>
    <row r="13" spans="1:13">
      <c r="A13" s="56" t="inlineStr">
        <is>
          <t>3/2026</t>
        </is>
      </c>
      <c r="B13" s="31">
        <f>SUMPRODUCT(--('توريد دم'!$C$9:$C$11&amp;""="1"))</f>
        <v>3</v>
      </c>
      <c r="C13" s="31">
        <f>SUMPRODUCT(--('توريد دم'!$C$9:$C$11&amp;""="1"))+SUMPRODUCT(--('توريد دم'!$C$9:$C$11&amp;""="0"))</f>
        <v>3</v>
      </c>
      <c r="D13" s="28">
        <f>IFERROR(B13/C13,"")</f>
        <v>1</v>
      </c>
    </row>
    <row r="14" spans="1:13">
      <c r="A14" s="56" t="inlineStr">
        <is>
          <t>6/2026</t>
        </is>
      </c>
      <c r="B14" s="31">
        <f>SUMPRODUCT(--('توريد دم'!$D$9:$D$11&amp;""="1"))</f>
        <v>3</v>
      </c>
      <c r="C14" s="31">
        <f>SUMPRODUCT(--('توريد دم'!$D$9:$D$11&amp;""="1"))+SUMPRODUCT(--('توريد دم'!$D$9:$D$11&amp;""="0"))</f>
        <v>3</v>
      </c>
      <c r="D14" s="28">
        <f>IFERROR(B14/C14,"")</f>
        <v>1</v>
      </c>
    </row>
    <row r="15" spans="1:13">
      <c r="A15" s="56" t="inlineStr">
        <is>
          <t>9/2026</t>
        </is>
      </c>
      <c r="B15" s="31">
        <f>SUMPRODUCT(--('توريد دم'!$E$9:$E$11&amp;""="1"))</f>
        <v>3</v>
      </c>
      <c r="C15" s="31">
        <f>SUMPRODUCT(--('توريد دم'!$E$9:$E$11&amp;""="1"))+SUMPRODUCT(--('توريد دم'!$E$9:$E$11&amp;""="0"))</f>
        <v>3</v>
      </c>
      <c r="D15" s="28">
        <f>IFERROR(B15/C15,"")</f>
        <v>1</v>
      </c>
    </row>
    <row r="16" spans="1:13">
      <c r="A16" s="27"/>
      <c r="B16" s="31"/>
      <c r="C16" s="31"/>
      <c r="D16" s="28" t="str">
        <f>IFERROR(B16/C16,"")</f>
        <v/>
      </c>
    </row>
    <row r="17" spans="1:13">
      <c r="A17" s="27"/>
      <c r="B17" s="31"/>
      <c r="C17" s="31"/>
      <c r="D17" s="28" t="str">
        <f>IFERROR(B17/C17,"")</f>
        <v/>
      </c>
    </row>
    <row r="18" spans="1:13">
      <c r="A18" s="27"/>
      <c r="B18" s="31"/>
      <c r="C18" s="31"/>
      <c r="D18" s="28" t="str">
        <f>IFERROR(B18/C18,"")</f>
        <v/>
      </c>
    </row>
    <row r="19" spans="1:13">
      <c r="A19" s="27"/>
      <c r="B19" s="31"/>
      <c r="C19" s="31"/>
      <c r="D19" s="28" t="str">
        <f>IFERROR(B19/C19,"")</f>
        <v/>
      </c>
    </row>
    <row r="20" spans="1:13">
      <c r="A20" s="56"/>
      <c r="B20" s="31"/>
      <c r="C20" s="31"/>
      <c r="D20" s="28" t="str">
        <f>IFERROR(B20/C20,"")</f>
        <v/>
      </c>
    </row>
    <row r="21" spans="1:13">
      <c r="A21" s="56"/>
      <c r="B21" s="31"/>
      <c r="C21" s="31"/>
      <c r="D21" s="28" t="str">
        <f>IFERROR(B21/C21,"")</f>
        <v/>
      </c>
    </row>
    <row r="22" spans="1:13">
      <c r="A22" s="56"/>
      <c r="B22" s="31"/>
      <c r="C22" s="31"/>
      <c r="D22" s="28" t="str">
        <f>IFERROR(B22/C22,"")</f>
        <v/>
      </c>
    </row>
    <row r="23" spans="1:13">
      <c r="A23" s="56"/>
      <c r="B23" s="31"/>
      <c r="C23" s="31"/>
      <c r="D23" s="28" t="str">
        <f>IFERROR(B23/C23,"")</f>
        <v/>
      </c>
    </row>
    <row r="24" spans="1:13">
      <c r="A24" s="140" t="s">
        <v>19</v>
      </c>
      <c r="B24" s="140"/>
      <c r="C24" s="140"/>
      <c r="D24" s="35">
        <f>AVERAGE(D13:D23)</f>
        <v>1</v>
      </c>
    </row>
    <row r="26" spans="1:13" ht="23.45" customHeight="1">
      <c r="A26" s="36" t="s">
        <v>17</v>
      </c>
      <c r="B26" s="129" t="s">
        <v>20</v>
      </c>
      <c r="C26" s="129"/>
      <c r="D26" s="129"/>
      <c r="E26" s="129" t="s">
        <v>21</v>
      </c>
      <c r="F26" s="129"/>
      <c r="G26" s="129"/>
      <c r="H26" s="129"/>
      <c r="I26" s="129"/>
      <c r="J26" s="129"/>
      <c r="K26" s="129" t="s">
        <v>22</v>
      </c>
      <c r="L26" s="129"/>
      <c r="M26" s="36" t="s">
        <v>23</v>
      </c>
    </row>
    <row r="27" spans="1:13" ht="18" customHeight="1">
      <c r="A27" s="27"/>
      <c r="B27" s="137"/>
      <c r="C27" s="137"/>
      <c r="D27" s="137"/>
      <c r="E27" s="137"/>
      <c r="F27" s="137"/>
      <c r="G27" s="137"/>
      <c r="H27" s="137"/>
      <c r="I27" s="137"/>
      <c r="J27" s="137"/>
      <c r="K27" s="137"/>
      <c r="L27" s="137"/>
      <c r="M27" s="37"/>
    </row>
    <row r="28" spans="1:13" ht="18" customHeight="1">
      <c r="A28" s="72"/>
      <c r="B28" s="136"/>
      <c r="C28" s="136"/>
      <c r="D28" s="136"/>
      <c r="E28" s="136"/>
      <c r="F28" s="136"/>
      <c r="G28" s="136"/>
      <c r="H28" s="136"/>
      <c r="I28" s="136"/>
      <c r="J28" s="136"/>
      <c r="K28" s="136"/>
      <c r="L28" s="136"/>
      <c r="M28" s="39"/>
    </row>
    <row r="29" spans="1:13" ht="18" customHeight="1">
      <c r="A29" s="27"/>
      <c r="B29" s="137"/>
      <c r="C29" s="137"/>
      <c r="D29" s="137"/>
      <c r="E29" s="137"/>
      <c r="F29" s="137"/>
      <c r="G29" s="137"/>
      <c r="H29" s="137"/>
      <c r="I29" s="137"/>
      <c r="J29" s="137"/>
      <c r="K29" s="137"/>
      <c r="L29" s="137"/>
      <c r="M29" s="37"/>
    </row>
    <row r="30" spans="1:13" ht="18" customHeight="1">
      <c r="A30" s="72"/>
      <c r="B30" s="136"/>
      <c r="C30" s="136"/>
      <c r="D30" s="136"/>
      <c r="E30" s="136"/>
      <c r="F30" s="136"/>
      <c r="G30" s="136"/>
      <c r="H30" s="136"/>
      <c r="I30" s="136"/>
      <c r="J30" s="136"/>
      <c r="K30" s="136"/>
      <c r="L30" s="136"/>
      <c r="M30" s="39"/>
    </row>
    <row r="31" spans="1:13" ht="18" customHeight="1">
      <c r="A31" s="27"/>
      <c r="B31" s="141"/>
      <c r="C31" s="142"/>
      <c r="D31" s="143"/>
      <c r="E31" s="137"/>
      <c r="F31" s="137"/>
      <c r="G31" s="137"/>
      <c r="H31" s="137"/>
      <c r="I31" s="137"/>
      <c r="J31" s="137"/>
      <c r="K31" s="137"/>
      <c r="L31" s="137"/>
      <c r="M31" s="37"/>
    </row>
    <row r="32" spans="1:13" ht="18" customHeight="1">
      <c r="A32" s="72"/>
      <c r="B32" s="136"/>
      <c r="C32" s="136"/>
      <c r="D32" s="136"/>
      <c r="E32" s="136"/>
      <c r="F32" s="136"/>
      <c r="G32" s="136"/>
      <c r="H32" s="136"/>
      <c r="I32" s="136"/>
      <c r="J32" s="136"/>
      <c r="K32" s="136"/>
      <c r="L32" s="136"/>
      <c r="M32" s="39"/>
    </row>
    <row r="33" spans="1:13" ht="18" customHeight="1">
      <c r="A33" s="27"/>
      <c r="B33" s="141"/>
      <c r="C33" s="142"/>
      <c r="D33" s="143"/>
      <c r="E33" s="137"/>
      <c r="F33" s="137"/>
      <c r="G33" s="137"/>
      <c r="H33" s="137"/>
      <c r="I33" s="137"/>
      <c r="J33" s="137"/>
      <c r="K33" s="137"/>
      <c r="L33" s="137"/>
      <c r="M33" s="37"/>
    </row>
    <row r="34" spans="1:13" ht="18" customHeight="1">
      <c r="A34" s="73"/>
      <c r="B34" s="136"/>
      <c r="C34" s="136"/>
      <c r="D34" s="136"/>
      <c r="E34" s="136"/>
      <c r="F34" s="136"/>
      <c r="G34" s="136"/>
      <c r="H34" s="136"/>
      <c r="I34" s="136"/>
      <c r="J34" s="136"/>
      <c r="K34" s="136"/>
      <c r="L34" s="136"/>
      <c r="M34" s="39"/>
    </row>
    <row r="35" spans="1:13" ht="18" customHeight="1">
      <c r="A35" s="56"/>
      <c r="B35" s="141"/>
      <c r="C35" s="142"/>
      <c r="D35" s="143"/>
      <c r="E35" s="137"/>
      <c r="F35" s="137"/>
      <c r="G35" s="137"/>
      <c r="H35" s="137"/>
      <c r="I35" s="137"/>
      <c r="J35" s="137"/>
      <c r="K35" s="137"/>
      <c r="L35" s="137"/>
      <c r="M35" s="37"/>
    </row>
    <row r="36" spans="1:13" ht="18" customHeight="1">
      <c r="A36" s="73"/>
      <c r="B36" s="136"/>
      <c r="C36" s="136"/>
      <c r="D36" s="136"/>
      <c r="E36" s="136"/>
      <c r="F36" s="136"/>
      <c r="G36" s="136"/>
      <c r="H36" s="136"/>
      <c r="I36" s="136"/>
      <c r="J36" s="136"/>
      <c r="K36" s="136"/>
      <c r="L36" s="136"/>
      <c r="M36" s="39"/>
    </row>
    <row r="37" spans="1:13" ht="18" customHeight="1">
      <c r="A37" s="56"/>
      <c r="B37" s="141"/>
      <c r="C37" s="142"/>
      <c r="D37" s="143"/>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8"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A1:P12"/>
  <sheetViews>
    <sheetView workbookViewId="0">
      <selection activeCell="A6" sqref="A6:I6"/>
    </sheetView>
  </sheetViews>
  <sheetFormatPr defaultColWidth="8.85546875" defaultRowHeight="15.75"/>
  <cols>
    <col min="1" max="1" width="7.140625" style="1" customWidth="1"/>
    <col min="2" max="2" width="74.140625" style="1" customWidth="1"/>
    <col min="3" max="7" width="10.42578125" style="1" customWidth="1"/>
    <col min="8" max="16384" width="8.85546875" style="1"/>
  </cols>
  <sheetData>
    <row r="1" spans="1:16">
      <c r="A1" s="25" t="s">
        <v>0</v>
      </c>
      <c r="C1" s="3"/>
      <c r="D1" s="3"/>
      <c r="E1" s="3"/>
      <c r="F1" s="3"/>
      <c r="G1" s="3" t="s">
        <v>1</v>
      </c>
    </row>
    <row r="2" spans="1:16">
      <c r="A2" s="25" t="s">
        <v>2</v>
      </c>
      <c r="C2" s="3"/>
      <c r="D2" s="3"/>
      <c r="E2" s="3"/>
      <c r="F2" s="3"/>
      <c r="G2" s="3" t="s">
        <v>3</v>
      </c>
    </row>
    <row r="3" spans="1:16">
      <c r="A3" s="3" t="s">
        <v>44</v>
      </c>
      <c r="B3" s="3"/>
      <c r="C3" s="3"/>
      <c r="D3" s="3"/>
      <c r="E3" s="3"/>
      <c r="F3" s="3"/>
      <c r="G3" s="3" t="s">
        <v>53</v>
      </c>
    </row>
    <row r="4" spans="1:16">
      <c r="A4" s="3"/>
      <c r="C4" s="3"/>
      <c r="D4" s="3"/>
      <c r="E4" s="3"/>
      <c r="F4" s="3"/>
      <c r="G4" s="3"/>
    </row>
    <row r="5" spans="1:16">
      <c r="C5" s="42"/>
      <c r="D5" s="42"/>
      <c r="E5" s="42"/>
      <c r="F5" s="42"/>
      <c r="G5" s="42"/>
    </row>
    <row r="6" spans="1:16" ht="30" customHeight="1">
      <c r="A6" s="144" t="s">
        <v>54</v>
      </c>
      <c r="B6" s="145"/>
      <c r="C6" s="145"/>
      <c r="D6" s="145"/>
      <c r="E6" s="145"/>
      <c r="F6" s="145"/>
      <c r="G6" s="145"/>
      <c r="H6" s="145"/>
      <c r="I6" s="145"/>
      <c r="J6" s="47"/>
      <c r="K6" s="47"/>
      <c r="L6" s="47"/>
      <c r="M6" s="47"/>
      <c r="N6" s="47"/>
      <c r="O6" s="47"/>
      <c r="P6" s="47"/>
    </row>
    <row r="7" spans="1:16" ht="24.95" customHeight="1">
      <c r="A7" s="135" t="s">
        <v>7</v>
      </c>
      <c r="B7" s="135" t="s">
        <v>8</v>
      </c>
      <c r="C7" s="146" t="s">
        <v>26</v>
      </c>
      <c r="D7" s="147"/>
      <c r="E7" s="147"/>
      <c r="F7" s="147"/>
      <c r="G7" s="147"/>
      <c r="H7" s="147"/>
      <c r="I7" s="148"/>
    </row>
    <row r="8" spans="1:16" ht="24.95" customHeight="1">
      <c r="A8" s="135"/>
      <c r="B8" s="135"/>
      <c r="C8" s="43" t="s">
        <v>55</v>
      </c>
      <c r="D8" s="43" t="s">
        <v>56</v>
      </c>
      <c r="E8" s="43" t="s">
        <v>57</v>
      </c>
      <c r="F8" s="43" t="s">
        <v>58</v>
      </c>
      <c r="G8" s="43" t="s">
        <v>59</v>
      </c>
      <c r="H8" s="43" t="s">
        <v>60</v>
      </c>
      <c r="I8" s="43" t="s">
        <v>61</v>
      </c>
    </row>
    <row r="9" spans="1:16" ht="20.100000000000001" customHeight="1">
      <c r="A9" s="27">
        <v>1</v>
      </c>
      <c r="B9" s="45" t="s">
        <v>62</v>
      </c>
      <c r="C9" s="27">
        <v>1</v>
      </c>
      <c r="D9" s="27">
        <v>1</v>
      </c>
      <c r="E9" s="27">
        <v>1</v>
      </c>
      <c r="F9" s="27">
        <v>1</v>
      </c>
      <c r="G9" s="27">
        <v>1</v>
      </c>
      <c r="H9" s="27">
        <v>1</v>
      </c>
      <c r="I9" s="27"/>
    </row>
    <row r="10" spans="1:16" ht="20.100000000000001" customHeight="1">
      <c r="A10" s="26">
        <v>2</v>
      </c>
      <c r="B10" s="44" t="s">
        <v>63</v>
      </c>
      <c r="C10" s="26">
        <v>1</v>
      </c>
      <c r="D10" s="26">
        <v>1</v>
      </c>
      <c r="E10" s="26">
        <v>1</v>
      </c>
      <c r="F10" s="26">
        <v>1</v>
      </c>
      <c r="G10" s="26">
        <v>1</v>
      </c>
      <c r="H10" s="26">
        <v>1</v>
      </c>
      <c r="I10" s="26"/>
    </row>
    <row r="11" spans="1:16" ht="30.75" customHeight="1">
      <c r="A11" s="27">
        <v>3</v>
      </c>
      <c r="B11" s="45" t="s">
        <v>64</v>
      </c>
      <c r="C11" s="27">
        <v>1</v>
      </c>
      <c r="D11" s="27">
        <v>1</v>
      </c>
      <c r="E11" s="27">
        <v>1</v>
      </c>
      <c r="F11" s="27">
        <v>1</v>
      </c>
      <c r="G11" s="27">
        <v>1</v>
      </c>
      <c r="H11" s="27">
        <v>1</v>
      </c>
      <c r="I11" s="27"/>
    </row>
    <row r="12" spans="1:16" ht="20.100000000000001" customHeight="1">
      <c r="A12" s="108" t="s">
        <v>10</v>
      </c>
      <c r="B12" s="108"/>
      <c r="C12" s="46">
        <f>IFERROR(AVERAGE(C9:C11),"-")</f>
        <v>1</v>
      </c>
      <c r="D12" s="46">
        <f>IFERROR(AVERAGE(D9:D11),"-")</f>
        <v>1</v>
      </c>
      <c r="E12" s="46">
        <f>IFERROR(AVERAGE(E9:E11),"-")</f>
        <v>1</v>
      </c>
      <c r="F12" s="46">
        <f>IFERROR(AVERAGE(F9:F11),"-")</f>
        <v>1</v>
      </c>
      <c r="G12" s="46">
        <f>IFERROR(AVERAGE(G9:G11),"-")</f>
        <v>1</v>
      </c>
      <c r="H12" s="46">
        <f t="shared" ref="H12:I12" si="0">IFERROR(AVERAGE(H9:H11),"-")</f>
        <v>1</v>
      </c>
      <c r="I12" s="46" t="str">
        <f t="shared" si="0"/>
        <v>-</v>
      </c>
    </row>
  </sheetData>
  <mergeCells count="5">
    <mergeCell ref="A6:I6"/>
    <mergeCell ref="C7:I7"/>
    <mergeCell ref="A12:B12"/>
    <mergeCell ref="A7:A8"/>
    <mergeCell ref="B7:B8"/>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9DEF97F3-9A35-4EEA-8368-3C4A16F6CF30}">
            <xm:f>NOT(ISERROR(SEARCH(0,C9)))</xm:f>
            <xm:f>0</xm:f>
            <x14:dxf>
              <font>
                <color theme="0"/>
              </font>
              <fill>
                <patternFill patternType="solid">
                  <bgColor rgb="FFC00000"/>
                </patternFill>
              </fill>
            </x14:dxf>
          </x14:cfRule>
          <xm:sqref>C9:I11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M29"/>
  <sheetViews>
    <sheetView workbookViewId="0">
      <selection activeCell="D11" sqref="D11"/>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44</v>
      </c>
      <c r="B3" s="3"/>
      <c r="C3" s="3"/>
      <c r="D3" s="3"/>
      <c r="E3" s="3"/>
      <c r="F3" s="3"/>
      <c r="L3" s="3" t="s">
        <v>53</v>
      </c>
      <c r="M3" s="3" t="s">
        <v>65</v>
      </c>
    </row>
    <row r="4" spans="1:13">
      <c r="A4" s="3"/>
      <c r="M4" s="3"/>
    </row>
    <row r="6" spans="1:13" ht="32.1" customHeight="1">
      <c r="A6" s="107" t="s">
        <v>54</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2" spans="1:13">
      <c r="A12" s="29" t="s">
        <v>17</v>
      </c>
      <c r="B12" s="29" t="s">
        <v>12</v>
      </c>
      <c r="C12" s="29" t="s">
        <v>14</v>
      </c>
      <c r="D12" s="29" t="s">
        <v>18</v>
      </c>
    </row>
    <row r="13" spans="1:13">
      <c r="A13" s="30" t="s">
        <v>66</v>
      </c>
      <c r="B13" s="31">
        <v>3</v>
      </c>
      <c r="C13" s="31">
        <v>3</v>
      </c>
      <c r="D13" s="28">
        <f t="shared" ref="D13:D18" si="0">B13/C13</f>
        <v>1</v>
      </c>
    </row>
    <row r="14" spans="1:13">
      <c r="A14" s="32" t="s">
        <v>67</v>
      </c>
      <c r="B14" s="33">
        <v>3</v>
      </c>
      <c r="C14" s="33">
        <v>3</v>
      </c>
      <c r="D14" s="34">
        <f t="shared" si="0"/>
        <v>1</v>
      </c>
    </row>
    <row r="15" spans="1:13">
      <c r="A15" s="30" t="s">
        <v>68</v>
      </c>
      <c r="B15" s="31">
        <v>3</v>
      </c>
      <c r="C15" s="31">
        <v>3</v>
      </c>
      <c r="D15" s="28">
        <f t="shared" si="0"/>
        <v>1</v>
      </c>
    </row>
    <row r="16" spans="1:13">
      <c r="A16" s="32" t="s">
        <v>69</v>
      </c>
      <c r="B16" s="33">
        <v>3</v>
      </c>
      <c r="C16" s="33">
        <v>3</v>
      </c>
      <c r="D16" s="34">
        <f t="shared" si="0"/>
        <v>1</v>
      </c>
    </row>
    <row r="17" spans="1:13">
      <c r="A17" s="30" t="s">
        <v>70</v>
      </c>
      <c r="B17" s="31">
        <v>3</v>
      </c>
      <c r="C17" s="31">
        <v>3</v>
      </c>
      <c r="D17" s="28">
        <f t="shared" si="0"/>
        <v>1</v>
      </c>
    </row>
    <row r="18" spans="1:13">
      <c r="A18" s="32" t="s">
        <v>71</v>
      </c>
      <c r="B18" s="33">
        <v>3</v>
      </c>
      <c r="C18" s="33">
        <v>3</v>
      </c>
      <c r="D18" s="34">
        <f t="shared" si="0"/>
        <v>1</v>
      </c>
    </row>
    <row r="19" spans="1:13">
      <c r="A19" s="30" t="s">
        <v>72</v>
      </c>
      <c r="B19" s="31"/>
      <c r="C19" s="31"/>
      <c r="D19" s="28"/>
    </row>
    <row r="20" spans="1:13">
      <c r="A20" s="140" t="s">
        <v>19</v>
      </c>
      <c r="B20" s="140"/>
      <c r="C20" s="140"/>
      <c r="D20" s="35">
        <f>AVERAGE(D13:D17)</f>
        <v>1</v>
      </c>
    </row>
    <row r="22" spans="1:13" ht="23.45" customHeight="1">
      <c r="A22" s="36" t="s">
        <v>17</v>
      </c>
      <c r="B22" s="129" t="s">
        <v>20</v>
      </c>
      <c r="C22" s="129"/>
      <c r="D22" s="129"/>
      <c r="E22" s="129" t="s">
        <v>21</v>
      </c>
      <c r="F22" s="129"/>
      <c r="G22" s="129"/>
      <c r="H22" s="129"/>
      <c r="I22" s="129"/>
      <c r="J22" s="129"/>
      <c r="K22" s="129" t="s">
        <v>22</v>
      </c>
      <c r="L22" s="129"/>
      <c r="M22" s="36" t="s">
        <v>23</v>
      </c>
    </row>
    <row r="23" spans="1:13" ht="38.450000000000003" customHeight="1">
      <c r="A23" s="30" t="s">
        <v>66</v>
      </c>
      <c r="B23" s="137" t="s">
        <v>73</v>
      </c>
      <c r="C23" s="137"/>
      <c r="D23" s="137"/>
      <c r="E23" s="137" t="s">
        <v>30</v>
      </c>
      <c r="F23" s="137"/>
      <c r="G23" s="137"/>
      <c r="H23" s="137"/>
      <c r="I23" s="137"/>
      <c r="J23" s="137"/>
      <c r="K23" s="137" t="s">
        <v>30</v>
      </c>
      <c r="L23" s="137"/>
      <c r="M23" s="37" t="s">
        <v>30</v>
      </c>
    </row>
    <row r="24" spans="1:13" ht="41.45" customHeight="1">
      <c r="A24" s="76" t="s">
        <v>67</v>
      </c>
      <c r="B24" s="136" t="s">
        <v>73</v>
      </c>
      <c r="C24" s="136"/>
      <c r="D24" s="136"/>
      <c r="E24" s="136" t="s">
        <v>30</v>
      </c>
      <c r="F24" s="136"/>
      <c r="G24" s="136"/>
      <c r="H24" s="136"/>
      <c r="I24" s="136"/>
      <c r="J24" s="136"/>
      <c r="K24" s="136" t="s">
        <v>30</v>
      </c>
      <c r="L24" s="136"/>
      <c r="M24" s="39" t="s">
        <v>30</v>
      </c>
    </row>
    <row r="25" spans="1:13" ht="44.1" customHeight="1">
      <c r="A25" s="30" t="s">
        <v>68</v>
      </c>
      <c r="B25" s="137" t="s">
        <v>73</v>
      </c>
      <c r="C25" s="137"/>
      <c r="D25" s="137"/>
      <c r="E25" s="137" t="s">
        <v>30</v>
      </c>
      <c r="F25" s="137"/>
      <c r="G25" s="137"/>
      <c r="H25" s="137"/>
      <c r="I25" s="137"/>
      <c r="J25" s="137"/>
      <c r="K25" s="137" t="s">
        <v>30</v>
      </c>
      <c r="L25" s="137"/>
      <c r="M25" s="37" t="s">
        <v>30</v>
      </c>
    </row>
    <row r="26" spans="1:13" ht="39" customHeight="1">
      <c r="A26" s="76" t="s">
        <v>69</v>
      </c>
      <c r="B26" s="136" t="s">
        <v>73</v>
      </c>
      <c r="C26" s="136"/>
      <c r="D26" s="136"/>
      <c r="E26" s="136" t="s">
        <v>30</v>
      </c>
      <c r="F26" s="136"/>
      <c r="G26" s="136"/>
      <c r="H26" s="136"/>
      <c r="I26" s="136"/>
      <c r="J26" s="136"/>
      <c r="K26" s="136" t="s">
        <v>30</v>
      </c>
      <c r="L26" s="136"/>
      <c r="M26" s="39" t="s">
        <v>30</v>
      </c>
    </row>
    <row r="27" spans="1:13" ht="44.45" customHeight="1">
      <c r="A27" s="30" t="s">
        <v>70</v>
      </c>
      <c r="B27" s="137" t="s">
        <v>73</v>
      </c>
      <c r="C27" s="137"/>
      <c r="D27" s="137"/>
      <c r="E27" s="137" t="s">
        <v>30</v>
      </c>
      <c r="F27" s="137"/>
      <c r="G27" s="137"/>
      <c r="H27" s="137"/>
      <c r="I27" s="137"/>
      <c r="J27" s="137"/>
      <c r="K27" s="137" t="s">
        <v>30</v>
      </c>
      <c r="L27" s="137"/>
      <c r="M27" s="37" t="s">
        <v>30</v>
      </c>
    </row>
    <row r="28" spans="1:13" ht="26.25" customHeight="1">
      <c r="A28" s="76" t="s">
        <v>71</v>
      </c>
      <c r="B28" s="136" t="s">
        <v>73</v>
      </c>
      <c r="C28" s="136"/>
      <c r="D28" s="136"/>
      <c r="E28" s="136" t="s">
        <v>30</v>
      </c>
      <c r="F28" s="136"/>
      <c r="G28" s="136"/>
      <c r="H28" s="136"/>
      <c r="I28" s="136"/>
      <c r="J28" s="136"/>
      <c r="K28" s="136" t="s">
        <v>30</v>
      </c>
      <c r="L28" s="136"/>
      <c r="M28" s="39" t="s">
        <v>30</v>
      </c>
    </row>
    <row r="29" spans="1:13" ht="24" customHeight="1">
      <c r="A29" s="30" t="s">
        <v>72</v>
      </c>
      <c r="B29" s="137"/>
      <c r="C29" s="137"/>
      <c r="D29" s="137"/>
      <c r="E29" s="137"/>
      <c r="F29" s="137"/>
      <c r="G29" s="137"/>
      <c r="H29" s="137"/>
      <c r="I29" s="137"/>
      <c r="J29" s="137"/>
      <c r="K29" s="137"/>
      <c r="L29" s="137"/>
      <c r="M29" s="37"/>
    </row>
  </sheetData>
  <mergeCells count="29">
    <mergeCell ref="A6:M6"/>
    <mergeCell ref="B8:D8"/>
    <mergeCell ref="B9:D9"/>
    <mergeCell ref="B10:D10"/>
    <mergeCell ref="A20:C20"/>
    <mergeCell ref="B22:D22"/>
    <mergeCell ref="E22:J22"/>
    <mergeCell ref="K22:L22"/>
    <mergeCell ref="B23:D23"/>
    <mergeCell ref="E23:J23"/>
    <mergeCell ref="K23:L23"/>
    <mergeCell ref="B24:D24"/>
    <mergeCell ref="E24:J24"/>
    <mergeCell ref="K24:L24"/>
    <mergeCell ref="B25:D25"/>
    <mergeCell ref="E25:J25"/>
    <mergeCell ref="K25:L25"/>
    <mergeCell ref="B26:D26"/>
    <mergeCell ref="E26:J26"/>
    <mergeCell ref="K26:L26"/>
    <mergeCell ref="B27:D27"/>
    <mergeCell ref="E27:J27"/>
    <mergeCell ref="K27:L27"/>
    <mergeCell ref="B28:D28"/>
    <mergeCell ref="E28:J28"/>
    <mergeCell ref="K28:L28"/>
    <mergeCell ref="B29:D29"/>
    <mergeCell ref="E29:J29"/>
    <mergeCell ref="K29:L29"/>
  </mergeCells>
  <printOptions horizontalCentered="1"/>
  <pageMargins left="0.70866141732283505" right="0.70866141732283505" top="0.74803149606299202" bottom="0.74803149606299202" header="0.31496062992126" footer="0.31496062992126"/>
  <pageSetup paperSize="9" scale="83"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P34"/>
  <sheetViews>
    <sheetView topLeftCell="A20" zoomScale="118" zoomScaleNormal="118" workbookViewId="0">
      <selection activeCell="E41" sqref="E41"/>
    </sheetView>
  </sheetViews>
  <sheetFormatPr defaultColWidth="8.85546875" defaultRowHeight="15.75"/>
  <cols>
    <col min="1" max="1" width="7.140625" style="1" customWidth="1"/>
    <col min="2" max="2" width="79.140625" style="1" customWidth="1"/>
    <col min="3" max="3" width="12.28515625" style="1" customWidth="1"/>
    <col min="4" max="7" width="10.42578125" style="1" customWidth="1"/>
    <col min="8" max="9" width="8.85546875" style="1"/>
    <col min="10" max="12" width="10.42578125" style="1" customWidth="1"/>
    <col min="13" max="16384" width="8.85546875" style="1"/>
  </cols>
  <sheetData>
    <row r="1" spans="1:16">
      <c r="A1" s="25" t="s">
        <v>0</v>
      </c>
      <c r="C1" s="3"/>
      <c r="D1" s="3"/>
      <c r="E1" s="3"/>
      <c r="F1" s="3"/>
      <c r="G1" s="3"/>
      <c r="M1" s="3" t="s">
        <v>1</v>
      </c>
    </row>
    <row r="2" spans="1:16">
      <c r="A2" s="25" t="s">
        <v>2</v>
      </c>
      <c r="C2" s="3"/>
      <c r="D2" s="3"/>
      <c r="E2" s="3"/>
      <c r="F2" s="3"/>
      <c r="G2" s="3"/>
      <c r="M2" s="3" t="s">
        <v>3</v>
      </c>
    </row>
    <row r="3" spans="1:16">
      <c r="A3" s="25" t="s">
        <v>24</v>
      </c>
      <c r="C3" s="3"/>
      <c r="D3" s="3"/>
      <c r="E3" s="3"/>
      <c r="F3" s="3"/>
      <c r="J3" s="3"/>
      <c r="L3" s="3"/>
      <c r="M3" s="3" t="s">
        <v>5</v>
      </c>
    </row>
    <row r="4" spans="1:16">
      <c r="A4" s="3"/>
      <c r="C4" s="3"/>
      <c r="D4" s="3"/>
      <c r="E4" s="3"/>
      <c r="F4" s="3"/>
      <c r="G4" s="3"/>
      <c r="J4" s="3"/>
      <c r="K4" s="3"/>
      <c r="L4" s="3"/>
    </row>
    <row r="5" spans="1:16">
      <c r="C5" s="42"/>
      <c r="D5" s="42"/>
      <c r="E5" s="42"/>
      <c r="F5" s="42"/>
      <c r="G5" s="42"/>
      <c r="J5" s="42"/>
      <c r="K5" s="42"/>
      <c r="L5" s="42"/>
    </row>
    <row r="6" spans="1:16" ht="30" customHeight="1">
      <c r="A6" s="106" t="s">
        <v>74</v>
      </c>
      <c r="B6" s="107"/>
      <c r="C6" s="107"/>
      <c r="D6" s="107"/>
      <c r="E6" s="107"/>
      <c r="F6" s="107"/>
      <c r="G6" s="107"/>
      <c r="H6" s="107"/>
      <c r="I6" s="107"/>
      <c r="J6" s="107"/>
      <c r="K6" s="107"/>
      <c r="L6" s="107"/>
      <c r="M6" s="107"/>
      <c r="N6" s="47"/>
      <c r="O6" s="47"/>
      <c r="P6" s="47"/>
    </row>
    <row r="7" spans="1:16" ht="24.95" customHeight="1">
      <c r="A7" s="135" t="s">
        <v>7</v>
      </c>
      <c r="B7" s="135" t="s">
        <v>8</v>
      </c>
      <c r="C7" s="138"/>
      <c r="D7" s="138"/>
      <c r="E7" s="138"/>
      <c r="F7" s="138"/>
      <c r="G7" s="138"/>
      <c r="H7" s="138"/>
      <c r="I7" s="138"/>
      <c r="J7" s="138"/>
      <c r="K7" s="138"/>
      <c r="L7" s="138"/>
      <c r="M7" s="138"/>
    </row>
    <row r="8" spans="1:16" ht="24.95" customHeight="1">
      <c r="A8" s="135"/>
      <c r="B8" s="135"/>
      <c r="C8" s="43" t="s">
        <v>177</v>
      </c>
      <c r="D8" s="103" t="s">
        <v>179</v>
      </c>
      <c r="E8" s="43" t="s">
        <v>178</v>
      </c>
      <c r="F8" s="43"/>
      <c r="G8" s="43"/>
      <c r="H8" s="43"/>
      <c r="I8" s="43"/>
      <c r="J8" s="43"/>
      <c r="K8" s="43"/>
      <c r="L8" s="43"/>
      <c r="M8" s="43"/>
    </row>
    <row r="9" spans="1:16" ht="20.100000000000001" customHeight="1">
      <c r="A9" s="27">
        <v>1</v>
      </c>
      <c r="B9" s="86" t="s">
        <v>181</v>
      </c>
      <c r="C9" s="27">
        <v>1</v>
      </c>
      <c r="D9" s="27">
        <v>1</v>
      </c>
      <c r="E9" s="27">
        <v>1</v>
      </c>
      <c r="F9" s="27"/>
      <c r="G9" s="27"/>
      <c r="H9" s="27"/>
      <c r="I9" s="27"/>
      <c r="J9" s="27"/>
      <c r="K9" s="27"/>
      <c r="L9" s="27"/>
      <c r="M9" s="27"/>
    </row>
    <row r="10" spans="1:16" ht="20.100000000000001" customHeight="1">
      <c r="A10" s="27">
        <v>2</v>
      </c>
      <c r="B10" s="87" t="s">
        <v>182</v>
      </c>
      <c r="C10" s="27">
        <v>1</v>
      </c>
      <c r="D10" s="27">
        <v>1</v>
      </c>
      <c r="E10" s="27">
        <v>1</v>
      </c>
      <c r="F10" s="27"/>
      <c r="G10" s="27"/>
      <c r="H10" s="27"/>
      <c r="I10" s="27"/>
      <c r="J10" s="27"/>
      <c r="K10" s="27"/>
      <c r="L10" s="27"/>
      <c r="M10" s="27"/>
    </row>
    <row r="11" spans="1:16" ht="34.5" customHeight="1">
      <c r="A11" s="27">
        <v>3</v>
      </c>
      <c r="B11" s="88" t="s">
        <v>183</v>
      </c>
      <c r="C11" s="27">
        <v>1</v>
      </c>
      <c r="D11" s="27">
        <v>1</v>
      </c>
      <c r="E11" s="27">
        <v>1</v>
      </c>
      <c r="F11" s="27"/>
      <c r="G11" s="27"/>
      <c r="H11" s="27"/>
      <c r="I11" s="27"/>
      <c r="J11" s="27"/>
      <c r="K11" s="27"/>
      <c r="L11" s="27"/>
      <c r="M11" s="27"/>
    </row>
    <row r="12" spans="1:16" ht="34.5" customHeight="1">
      <c r="A12" s="27">
        <v>4</v>
      </c>
      <c r="B12" s="89" t="s">
        <v>184</v>
      </c>
      <c r="C12" s="27">
        <v>0</v>
      </c>
      <c r="D12" s="27">
        <v>1</v>
      </c>
      <c r="E12" s="27">
        <v>1</v>
      </c>
      <c r="F12" s="27"/>
      <c r="G12" s="27"/>
      <c r="H12" s="27"/>
      <c r="I12" s="27"/>
      <c r="J12" s="27"/>
      <c r="K12" s="27"/>
      <c r="L12" s="27"/>
      <c r="M12" s="27"/>
    </row>
    <row r="13" spans="1:16" ht="34.5" customHeight="1">
      <c r="A13" s="27">
        <v>5</v>
      </c>
      <c r="B13" s="89" t="s">
        <v>185</v>
      </c>
      <c r="C13" s="27">
        <v>1</v>
      </c>
      <c r="D13" s="27">
        <v>1</v>
      </c>
      <c r="E13" s="27">
        <v>0</v>
      </c>
      <c r="F13" s="27"/>
      <c r="G13" s="27"/>
      <c r="H13" s="27"/>
      <c r="I13" s="27"/>
      <c r="J13" s="27"/>
      <c r="K13" s="27"/>
      <c r="L13" s="27"/>
      <c r="M13" s="27"/>
    </row>
    <row r="14" spans="1:16" ht="20.100000000000001" customHeight="1">
      <c r="A14" s="27">
        <v>6</v>
      </c>
      <c r="B14" s="89" t="s">
        <v>186</v>
      </c>
      <c r="C14" s="27">
        <v>0</v>
      </c>
      <c r="D14" s="27">
        <v>0</v>
      </c>
      <c r="E14" s="27">
        <v>1</v>
      </c>
      <c r="F14" s="27"/>
      <c r="G14" s="27"/>
      <c r="H14" s="27"/>
      <c r="I14" s="27"/>
      <c r="J14" s="27"/>
      <c r="K14" s="27"/>
      <c r="L14" s="27"/>
      <c r="M14" s="27"/>
    </row>
    <row r="15" spans="1:16" ht="20.100000000000001" customHeight="1">
      <c r="A15" s="27">
        <v>7</v>
      </c>
      <c r="B15" s="88" t="s">
        <v>187</v>
      </c>
      <c r="C15" s="27">
        <v>1</v>
      </c>
      <c r="D15" s="27">
        <v>1</v>
      </c>
      <c r="E15" s="27">
        <v>1</v>
      </c>
      <c r="F15" s="27"/>
      <c r="G15" s="27"/>
      <c r="H15" s="27"/>
      <c r="I15" s="27"/>
      <c r="J15" s="27"/>
      <c r="K15" s="27"/>
      <c r="L15" s="27"/>
      <c r="M15" s="27"/>
    </row>
    <row r="16" spans="1:16" ht="20.100000000000001" customHeight="1">
      <c r="A16" s="27">
        <v>8</v>
      </c>
      <c r="B16" s="89" t="s">
        <v>188</v>
      </c>
      <c r="C16" s="27">
        <v>1</v>
      </c>
      <c r="D16" s="27">
        <v>1</v>
      </c>
      <c r="E16" s="27">
        <v>1</v>
      </c>
      <c r="F16" s="27"/>
      <c r="G16" s="27"/>
      <c r="H16" s="27"/>
      <c r="I16" s="27"/>
      <c r="J16" s="27"/>
      <c r="K16" s="27"/>
      <c r="L16" s="27"/>
      <c r="M16" s="27"/>
    </row>
    <row r="17" spans="1:13" ht="20.100000000000001" customHeight="1">
      <c r="A17" s="27">
        <v>9</v>
      </c>
      <c r="B17" s="89" t="s">
        <v>189</v>
      </c>
      <c r="C17" s="27">
        <v>1</v>
      </c>
      <c r="D17" s="27">
        <v>1</v>
      </c>
      <c r="E17" s="27">
        <v>1</v>
      </c>
      <c r="F17" s="27"/>
      <c r="G17" s="27"/>
      <c r="H17" s="27"/>
      <c r="I17" s="27"/>
      <c r="J17" s="27"/>
      <c r="K17" s="27"/>
      <c r="L17" s="27"/>
      <c r="M17" s="27"/>
    </row>
    <row r="18" spans="1:13" ht="18.600000000000001" customHeight="1">
      <c r="A18" s="27">
        <v>10</v>
      </c>
      <c r="B18" s="90" t="s">
        <v>190</v>
      </c>
      <c r="C18" s="27">
        <v>1</v>
      </c>
      <c r="D18" s="27">
        <v>1</v>
      </c>
      <c r="E18" s="27">
        <v>1</v>
      </c>
      <c r="F18" s="27"/>
      <c r="G18" s="27"/>
      <c r="H18" s="27"/>
      <c r="I18" s="27"/>
      <c r="J18" s="27"/>
      <c r="K18" s="27"/>
      <c r="L18" s="27"/>
      <c r="M18" s="27"/>
    </row>
    <row r="19" spans="1:13" ht="29.25" customHeight="1">
      <c r="A19" s="27">
        <v>11</v>
      </c>
      <c r="B19" s="91" t="s">
        <v>191</v>
      </c>
      <c r="C19" s="27">
        <v>1</v>
      </c>
      <c r="D19" s="27">
        <v>1</v>
      </c>
      <c r="E19" s="27">
        <v>1</v>
      </c>
      <c r="F19" s="27"/>
      <c r="G19" s="27"/>
      <c r="H19" s="27"/>
      <c r="I19" s="27"/>
      <c r="J19" s="27"/>
      <c r="K19" s="27"/>
      <c r="L19" s="27"/>
      <c r="M19" s="27"/>
    </row>
    <row r="20" spans="1:13" ht="20.100000000000001" customHeight="1">
      <c r="A20" s="27">
        <v>12</v>
      </c>
      <c r="B20" s="89" t="s">
        <v>192</v>
      </c>
      <c r="C20" s="27">
        <v>0</v>
      </c>
      <c r="D20" s="27">
        <v>1</v>
      </c>
      <c r="E20" s="27">
        <v>1</v>
      </c>
      <c r="F20" s="27"/>
      <c r="G20" s="27"/>
      <c r="H20" s="27"/>
      <c r="I20" s="27"/>
      <c r="J20" s="27"/>
      <c r="K20" s="27"/>
      <c r="L20" s="27"/>
      <c r="M20" s="27"/>
    </row>
    <row r="21" spans="1:13" ht="20.100000000000001" customHeight="1">
      <c r="A21" s="27">
        <v>13</v>
      </c>
      <c r="B21" s="89" t="s">
        <v>193</v>
      </c>
      <c r="C21" s="27">
        <v>1</v>
      </c>
      <c r="D21" s="27">
        <v>1</v>
      </c>
      <c r="E21" s="27">
        <v>1</v>
      </c>
      <c r="F21" s="27"/>
      <c r="G21" s="27"/>
      <c r="H21" s="27"/>
      <c r="I21" s="27"/>
      <c r="J21" s="27"/>
      <c r="K21" s="27"/>
      <c r="L21" s="27"/>
      <c r="M21" s="27"/>
    </row>
    <row r="22" spans="1:13" ht="20.100000000000001" customHeight="1">
      <c r="A22" s="27">
        <v>14</v>
      </c>
      <c r="B22" s="86" t="s">
        <v>194</v>
      </c>
      <c r="C22" s="27">
        <v>1</v>
      </c>
      <c r="D22" s="27">
        <v>1</v>
      </c>
      <c r="E22" s="27">
        <v>1</v>
      </c>
      <c r="F22" s="27"/>
      <c r="G22" s="27"/>
      <c r="H22" s="27"/>
      <c r="I22" s="27"/>
      <c r="J22" s="27"/>
      <c r="K22" s="27"/>
      <c r="L22" s="27"/>
      <c r="M22" s="27"/>
    </row>
    <row r="23" spans="1:13">
      <c r="A23" s="27">
        <v>15</v>
      </c>
      <c r="B23" s="86" t="s">
        <v>195</v>
      </c>
      <c r="C23" s="27">
        <v>1</v>
      </c>
      <c r="D23" s="27">
        <v>1</v>
      </c>
      <c r="E23" s="27">
        <v>1</v>
      </c>
      <c r="F23" s="27"/>
      <c r="G23" s="27"/>
      <c r="H23" s="27"/>
      <c r="I23" s="27"/>
      <c r="J23" s="27"/>
      <c r="K23" s="27"/>
      <c r="L23" s="27"/>
      <c r="M23" s="27"/>
    </row>
    <row r="24" spans="1:13" ht="29.25" customHeight="1">
      <c r="A24" s="27">
        <v>16</v>
      </c>
      <c r="B24" s="92" t="s">
        <v>196</v>
      </c>
      <c r="C24" s="27">
        <v>1</v>
      </c>
      <c r="D24" s="27">
        <v>1</v>
      </c>
      <c r="E24" s="27">
        <v>1</v>
      </c>
      <c r="F24" s="27"/>
      <c r="G24" s="27"/>
      <c r="H24" s="27"/>
      <c r="I24" s="27"/>
      <c r="J24" s="27"/>
      <c r="K24" s="27"/>
      <c r="L24" s="27"/>
      <c r="M24" s="27"/>
    </row>
    <row r="25" spans="1:13" ht="29.25" customHeight="1">
      <c r="A25" s="27">
        <v>17</v>
      </c>
      <c r="B25" s="92" t="s">
        <v>197</v>
      </c>
      <c r="C25" s="27">
        <v>1</v>
      </c>
      <c r="D25" s="27">
        <v>0</v>
      </c>
      <c r="E25" s="27">
        <v>1</v>
      </c>
      <c r="F25" s="27"/>
      <c r="G25" s="27"/>
      <c r="H25" s="27"/>
      <c r="I25" s="27"/>
      <c r="J25" s="27"/>
      <c r="K25" s="27"/>
      <c r="L25" s="27"/>
      <c r="M25" s="27"/>
    </row>
    <row r="26" spans="1:13" ht="29.25" customHeight="1">
      <c r="A26" s="27">
        <v>18</v>
      </c>
      <c r="B26" s="92" t="s">
        <v>198</v>
      </c>
      <c r="C26" s="27">
        <v>1</v>
      </c>
      <c r="D26" s="27">
        <v>1</v>
      </c>
      <c r="E26" s="27">
        <v>0</v>
      </c>
      <c r="F26" s="27"/>
      <c r="G26" s="27"/>
      <c r="H26" s="27"/>
      <c r="I26" s="27"/>
      <c r="J26" s="27"/>
      <c r="K26" s="27"/>
      <c r="L26" s="27"/>
      <c r="M26" s="27"/>
    </row>
    <row r="27" spans="1:13" ht="29.25" customHeight="1">
      <c r="A27" s="27">
        <v>19</v>
      </c>
      <c r="B27" s="92" t="s">
        <v>199</v>
      </c>
      <c r="C27" s="27">
        <v>1</v>
      </c>
      <c r="D27" s="27">
        <v>1</v>
      </c>
      <c r="E27" s="27">
        <v>1</v>
      </c>
      <c r="F27" s="27"/>
      <c r="G27" s="27"/>
      <c r="H27" s="27"/>
      <c r="I27" s="27"/>
      <c r="J27" s="27"/>
      <c r="K27" s="27"/>
      <c r="L27" s="27"/>
      <c r="M27" s="27"/>
    </row>
    <row r="28" spans="1:13" ht="29.25" customHeight="1">
      <c r="A28" s="27">
        <v>20</v>
      </c>
      <c r="B28" s="92" t="s">
        <v>200</v>
      </c>
      <c r="C28" s="27">
        <v>1</v>
      </c>
      <c r="D28" s="27">
        <v>1</v>
      </c>
      <c r="E28" s="27">
        <v>1</v>
      </c>
      <c r="F28" s="27"/>
      <c r="G28" s="27"/>
      <c r="H28" s="27"/>
      <c r="I28" s="27"/>
      <c r="J28" s="27"/>
      <c r="K28" s="27"/>
      <c r="L28" s="27"/>
      <c r="M28" s="27"/>
    </row>
    <row r="29" spans="1:13" ht="29.25" customHeight="1">
      <c r="A29" s="27">
        <v>21</v>
      </c>
      <c r="B29" s="92" t="s">
        <v>201</v>
      </c>
      <c r="C29" s="27">
        <v>1</v>
      </c>
      <c r="D29" s="27">
        <v>1</v>
      </c>
      <c r="E29" s="27">
        <v>1</v>
      </c>
      <c r="F29" s="27"/>
      <c r="G29" s="27"/>
      <c r="H29" s="27"/>
      <c r="I29" s="27"/>
      <c r="J29" s="27"/>
      <c r="K29" s="27"/>
      <c r="L29" s="27"/>
      <c r="M29" s="27"/>
    </row>
    <row r="30" spans="1:13" ht="20.100000000000001" customHeight="1">
      <c r="A30" s="27">
        <v>22</v>
      </c>
      <c r="B30" s="89" t="s">
        <v>202</v>
      </c>
      <c r="C30" s="27">
        <v>1</v>
      </c>
      <c r="D30" s="27">
        <v>1</v>
      </c>
      <c r="E30" s="27">
        <v>1</v>
      </c>
      <c r="F30" s="27"/>
      <c r="G30" s="27"/>
      <c r="H30" s="27"/>
      <c r="I30" s="27"/>
      <c r="J30" s="27"/>
      <c r="K30" s="27"/>
      <c r="L30" s="27"/>
      <c r="M30" s="27"/>
    </row>
    <row r="31" spans="1:13" ht="20.100000000000001" customHeight="1">
      <c r="A31" s="27">
        <v>23</v>
      </c>
      <c r="B31" s="92" t="s">
        <v>203</v>
      </c>
      <c r="C31" s="27">
        <v>1</v>
      </c>
      <c r="D31" s="27">
        <v>1</v>
      </c>
      <c r="E31" s="27">
        <v>1</v>
      </c>
      <c r="F31" s="27"/>
      <c r="G31" s="27"/>
      <c r="H31" s="27"/>
      <c r="I31" s="27"/>
      <c r="J31" s="27"/>
      <c r="K31" s="27"/>
      <c r="L31" s="27"/>
      <c r="M31" s="27"/>
    </row>
    <row r="32" spans="1:13" ht="20.100000000000001" customHeight="1">
      <c r="A32" s="27">
        <v>24</v>
      </c>
      <c r="B32" s="89" t="s">
        <v>204</v>
      </c>
      <c r="C32" s="27">
        <v>1</v>
      </c>
      <c r="D32" s="27">
        <v>1</v>
      </c>
      <c r="E32" s="27">
        <v>1</v>
      </c>
      <c r="F32" s="27"/>
      <c r="G32" s="27"/>
      <c r="H32" s="27"/>
      <c r="I32" s="27"/>
      <c r="J32" s="27"/>
      <c r="K32" s="27"/>
      <c r="L32" s="27"/>
      <c r="M32" s="27"/>
    </row>
    <row r="33" spans="1:13" ht="20.100000000000001" customHeight="1">
      <c r="A33" s="27">
        <v>25</v>
      </c>
      <c r="B33" s="89" t="s">
        <v>205</v>
      </c>
      <c r="C33" s="27">
        <v>1</v>
      </c>
      <c r="D33" s="27">
        <v>1</v>
      </c>
      <c r="E33" s="27">
        <v>1</v>
      </c>
      <c r="F33" s="27"/>
      <c r="G33" s="27"/>
      <c r="H33" s="27"/>
      <c r="I33" s="27"/>
      <c r="J33" s="27"/>
      <c r="K33" s="27"/>
      <c r="L33" s="27"/>
      <c r="M33" s="27"/>
    </row>
    <row r="34" spans="1:13" ht="20.100000000000001" customHeight="1">
      <c r="A34" s="108" t="s">
        <v>10</v>
      </c>
      <c r="B34" s="108"/>
      <c r="C34" s="46">
        <f t="shared" ref="C34:M34" si="0">IFERROR(AVERAGE(C9:C33),"-")</f>
        <v>0.88</v>
      </c>
      <c r="D34" s="46">
        <f t="shared" si="0"/>
        <v>0.92</v>
      </c>
      <c r="E34" s="46">
        <f t="shared" si="0"/>
        <v>0.92</v>
      </c>
      <c r="F34" s="46" t="str">
        <f t="shared" si="0"/>
        <v>-</v>
      </c>
      <c r="G34" s="46" t="str">
        <f t="shared" si="0"/>
        <v>-</v>
      </c>
      <c r="H34" s="46" t="str">
        <f t="shared" si="0"/>
        <v>-</v>
      </c>
      <c r="I34" s="46" t="str">
        <f t="shared" si="0"/>
        <v>-</v>
      </c>
      <c r="J34" s="46" t="str">
        <f t="shared" si="0"/>
        <v>-</v>
      </c>
      <c r="K34" s="46" t="str">
        <f t="shared" si="0"/>
        <v>-</v>
      </c>
      <c r="L34" s="46" t="str">
        <f t="shared" si="0"/>
        <v>-</v>
      </c>
      <c r="M34" s="46" t="str">
        <f t="shared" si="0"/>
        <v>-</v>
      </c>
    </row>
  </sheetData>
  <mergeCells count="5">
    <mergeCell ref="A6:M6"/>
    <mergeCell ref="C7:M7"/>
    <mergeCell ref="A34:B34"/>
    <mergeCell ref="A7:A8"/>
    <mergeCell ref="B7:B8"/>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9" operator="containsText" id="{A594787A-7292-4D08-8A94-122864EB9126}">
            <xm:f>NOT(ISERROR(SEARCH(0,K24)))</xm:f>
            <xm:f>0</xm:f>
            <x14:dxf>
              <font>
                <color theme="0"/>
              </font>
              <fill>
                <patternFill patternType="solid">
                  <bgColor rgb="FFC00000"/>
                </patternFill>
              </fill>
            </x14:dxf>
          </x14:cfRule>
          <xm:sqref>K24:M29</xm:sqref>
        </x14:conditionalFormatting>
        <x14:conditionalFormatting xmlns:xm="http://schemas.microsoft.com/office/excel/2006/main">
          <x14:cfRule type="containsText" priority="1" operator="containsText" id="{4661E966-95FD-4636-A33F-EE7E10A3A341}">
            <xm:f>NOT(ISERROR(SEARCH(0,C9)))</xm:f>
            <xm:f>0</xm:f>
            <x14:dxf>
              <font>
                <color theme="0"/>
              </font>
              <fill>
                <patternFill patternType="solid">
                  <bgColor rgb="FFC00000"/>
                </patternFill>
              </fill>
            </x14:dxf>
          </x14:cfRule>
          <xm:sqref>M9:M23 C9:L33</xm:sqref>
        </x14:conditionalFormatting>
        <x14:conditionalFormatting xmlns:xm="http://schemas.microsoft.com/office/excel/2006/main">
          <x14:cfRule type="containsText" priority="11" operator="containsText" id="{1BEBAB00-49F4-4D0B-9EAD-FC0B9EAB83FB}">
            <xm:f>NOT(ISERROR(SEARCH(0,M30)))</xm:f>
            <xm:f>0</xm:f>
            <x14:dxf>
              <font>
                <color theme="0"/>
              </font>
              <fill>
                <patternFill patternType="solid">
                  <bgColor rgb="FFC00000"/>
                </patternFill>
              </fill>
            </x14:dxf>
          </x14:cfRule>
          <xm:sqref>M30:M33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1:M115"/>
  <sheetViews>
    <sheetView zoomScale="70" zoomScaleNormal="70" workbookViewId="0">
      <selection activeCell="C17" sqref="C17"/>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74</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2" spans="1:13">
      <c r="A12" s="29" t="s">
        <v>17</v>
      </c>
      <c r="B12" s="29" t="s">
        <v>12</v>
      </c>
      <c r="C12" s="29" t="s">
        <v>14</v>
      </c>
      <c r="D12" s="29" t="s">
        <v>18</v>
      </c>
    </row>
    <row r="13" spans="1:13">
      <c r="A13" s="49" t="inlineStr">
        <is>
          <t>3/2026</t>
        </is>
      </c>
      <c r="B13" s="31">
        <f>SUMPRODUCT(--('توريد وإعداد الوجبات'!$C$9:$C$33&amp;""="1"))</f>
        <v>22</v>
      </c>
      <c r="C13" s="31">
        <f>SUMPRODUCT(--('توريد وإعداد الوجبات'!$C$9:$C$33&amp;""="1"))+SUMPRODUCT(--('توريد وإعداد الوجبات'!$C$9:$C$33&amp;""="0"))</f>
        <v>25</v>
      </c>
      <c r="D13" s="28">
        <f>IFERROR(B13/C13,"")</f>
        <v>0.88</v>
      </c>
    </row>
    <row r="14" spans="1:13">
      <c r="A14" s="49" t="inlineStr">
        <is>
          <t>6/2026</t>
        </is>
      </c>
      <c r="B14" s="31">
        <f>SUMPRODUCT(--('توريد وإعداد الوجبات'!$D$9:$D$33&amp;""="1"))</f>
        <v>23</v>
      </c>
      <c r="C14" s="31">
        <f>SUMPRODUCT(--('توريد وإعداد الوجبات'!$D$9:$D$33&amp;""="1"))+SUMPRODUCT(--('توريد وإعداد الوجبات'!$D$9:$D$33&amp;""="0"))</f>
        <v>25</v>
      </c>
      <c r="D14" s="28">
        <f>IFERROR(B14/C14,"")</f>
        <v>0.92</v>
      </c>
    </row>
    <row r="15" spans="1:13">
      <c r="A15" s="49" t="inlineStr">
        <is>
          <t>9/2026</t>
        </is>
      </c>
      <c r="B15" s="31">
        <f>SUMPRODUCT(--('توريد وإعداد الوجبات'!$E$9:$E$33&amp;""="1"))</f>
        <v>23</v>
      </c>
      <c r="C15" s="31">
        <f>SUMPRODUCT(--('توريد وإعداد الوجبات'!$E$9:$E$33&amp;""="1"))+SUMPRODUCT(--('توريد وإعداد الوجبات'!$E$9:$E$33&amp;""="0"))</f>
        <v>25</v>
      </c>
      <c r="D15" s="28">
        <f>IFERROR(B15/C15,"")</f>
        <v>0.92</v>
      </c>
    </row>
    <row r="16" spans="1:13">
      <c r="A16" s="30"/>
      <c r="B16" s="31"/>
      <c r="C16" s="31"/>
      <c r="D16" s="28" t="str">
        <f>IFERROR(B16/C16,"")</f>
        <v/>
      </c>
    </row>
    <row r="17" spans="1:13">
      <c r="A17" s="30"/>
      <c r="B17" s="31"/>
      <c r="C17" s="31"/>
      <c r="D17" s="28" t="str">
        <f>IFERROR(B17/C17,"")</f>
        <v/>
      </c>
    </row>
    <row r="18" spans="1:13">
      <c r="A18" s="30"/>
      <c r="B18" s="31"/>
      <c r="C18" s="31"/>
      <c r="D18" s="28" t="str">
        <f>IFERROR(B18/C18,"")</f>
        <v/>
      </c>
    </row>
    <row r="19" spans="1:13">
      <c r="A19" s="30"/>
      <c r="B19" s="31"/>
      <c r="C19" s="31"/>
      <c r="D19" s="28" t="str">
        <f>IFERROR(B19/C19,"")</f>
        <v/>
      </c>
    </row>
    <row r="20" spans="1:13">
      <c r="A20" s="49"/>
      <c r="B20" s="31"/>
      <c r="C20" s="31"/>
      <c r="D20" s="28" t="str">
        <f>IFERROR(B20/C20,"")</f>
        <v/>
      </c>
    </row>
    <row r="21" spans="1:13">
      <c r="A21" s="49"/>
      <c r="B21" s="31"/>
      <c r="C21" s="31"/>
      <c r="D21" s="28" t="str">
        <f>IFERROR(B21/C21,"")</f>
        <v/>
      </c>
    </row>
    <row r="22" spans="1:13">
      <c r="A22" s="49"/>
      <c r="B22" s="31"/>
      <c r="C22" s="31"/>
      <c r="D22" s="28" t="str">
        <f>IFERROR(B22/C22,"")</f>
        <v/>
      </c>
    </row>
    <row r="23" spans="1:13">
      <c r="A23" s="49"/>
      <c r="B23" s="40"/>
      <c r="C23" s="31"/>
      <c r="D23" s="28" t="str">
        <f>IFERROR(B23/C23,"")</f>
        <v/>
      </c>
    </row>
    <row r="24" spans="1:13">
      <c r="A24" s="140" t="s">
        <v>19</v>
      </c>
      <c r="B24" s="140"/>
      <c r="C24" s="140"/>
      <c r="D24" s="35">
        <f>AVERAGE(D13:D23)</f>
        <v>0.9066666666666667</v>
      </c>
    </row>
    <row r="26" spans="1:13" ht="23.45" customHeight="1">
      <c r="A26" s="36" t="s">
        <v>17</v>
      </c>
      <c r="B26" s="129" t="s">
        <v>20</v>
      </c>
      <c r="C26" s="129"/>
      <c r="D26" s="129"/>
      <c r="E26" s="129" t="s">
        <v>21</v>
      </c>
      <c r="F26" s="129"/>
      <c r="G26" s="129"/>
      <c r="H26" s="129"/>
      <c r="I26" s="129"/>
      <c r="J26" s="129"/>
      <c r="K26" s="129" t="s">
        <v>22</v>
      </c>
      <c r="L26" s="129"/>
      <c r="M26" s="36" t="s">
        <v>23</v>
      </c>
    </row>
    <row r="27" spans="1:13" ht="39.6" customHeight="1">
      <c r="A27" s="149"/>
      <c r="B27" s="109"/>
      <c r="C27" s="109"/>
      <c r="D27" s="109"/>
      <c r="E27" s="109"/>
      <c r="F27" s="109"/>
      <c r="G27" s="109"/>
      <c r="H27" s="109"/>
      <c r="I27" s="109"/>
      <c r="J27" s="109"/>
      <c r="K27" s="109"/>
      <c r="L27" s="109"/>
      <c r="M27" s="78"/>
    </row>
    <row r="28" spans="1:13" ht="39.6" customHeight="1">
      <c r="A28" s="150"/>
      <c r="B28" s="110"/>
      <c r="C28" s="111"/>
      <c r="D28" s="112"/>
      <c r="E28" s="109"/>
      <c r="F28" s="109"/>
      <c r="G28" s="109"/>
      <c r="H28" s="109"/>
      <c r="I28" s="109"/>
      <c r="J28" s="109"/>
      <c r="K28" s="110"/>
      <c r="L28" s="112"/>
      <c r="M28" s="78"/>
    </row>
    <row r="29" spans="1:13" ht="39.6" customHeight="1">
      <c r="A29" s="150"/>
      <c r="B29" s="109"/>
      <c r="C29" s="109"/>
      <c r="D29" s="109"/>
      <c r="E29" s="109"/>
      <c r="F29" s="109"/>
      <c r="G29" s="109"/>
      <c r="H29" s="109"/>
      <c r="I29" s="109"/>
      <c r="J29" s="109"/>
      <c r="K29" s="109"/>
      <c r="L29" s="109"/>
      <c r="M29" s="78"/>
    </row>
    <row r="30" spans="1:13" ht="39.6" customHeight="1">
      <c r="A30" s="150"/>
      <c r="B30" s="109"/>
      <c r="C30" s="109"/>
      <c r="D30" s="109"/>
      <c r="E30" s="109"/>
      <c r="F30" s="109"/>
      <c r="G30" s="109"/>
      <c r="H30" s="109"/>
      <c r="I30" s="109"/>
      <c r="J30" s="109"/>
      <c r="K30" s="109"/>
      <c r="L30" s="109"/>
      <c r="M30" s="78"/>
    </row>
    <row r="31" spans="1:13" ht="39.6" customHeight="1">
      <c r="A31" s="150"/>
      <c r="B31" s="110"/>
      <c r="C31" s="111"/>
      <c r="D31" s="112"/>
      <c r="E31" s="110"/>
      <c r="F31" s="111"/>
      <c r="G31" s="111"/>
      <c r="H31" s="111"/>
      <c r="I31" s="111"/>
      <c r="J31" s="112"/>
      <c r="K31" s="110"/>
      <c r="L31" s="112"/>
      <c r="M31" s="78"/>
    </row>
    <row r="32" spans="1:13" ht="39.6" customHeight="1">
      <c r="A32" s="150"/>
      <c r="B32" s="109"/>
      <c r="C32" s="109"/>
      <c r="D32" s="109"/>
      <c r="E32" s="109"/>
      <c r="F32" s="109"/>
      <c r="G32" s="109"/>
      <c r="H32" s="109"/>
      <c r="I32" s="109"/>
      <c r="J32" s="109"/>
      <c r="K32" s="109"/>
      <c r="L32" s="109"/>
      <c r="M32" s="78"/>
    </row>
    <row r="33" spans="1:13" ht="39.6" customHeight="1">
      <c r="A33" s="150"/>
      <c r="B33" s="110"/>
      <c r="C33" s="111"/>
      <c r="D33" s="112"/>
      <c r="E33" s="110"/>
      <c r="F33" s="111"/>
      <c r="G33" s="111"/>
      <c r="H33" s="111"/>
      <c r="I33" s="111"/>
      <c r="J33" s="112"/>
      <c r="K33" s="109"/>
      <c r="L33" s="109"/>
      <c r="M33" s="78"/>
    </row>
    <row r="34" spans="1:13" ht="39.6" customHeight="1">
      <c r="A34" s="151"/>
      <c r="B34" s="109"/>
      <c r="C34" s="109"/>
      <c r="D34" s="109"/>
      <c r="E34" s="109"/>
      <c r="F34" s="109"/>
      <c r="G34" s="109"/>
      <c r="H34" s="109"/>
      <c r="I34" s="109"/>
      <c r="J34" s="109"/>
      <c r="K34" s="109"/>
      <c r="L34" s="109"/>
      <c r="M34" s="78"/>
    </row>
    <row r="35" spans="1:13" ht="39.6" customHeight="1">
      <c r="A35" s="152"/>
      <c r="B35" s="119"/>
      <c r="C35" s="119"/>
      <c r="D35" s="119"/>
      <c r="E35" s="119"/>
      <c r="F35" s="119"/>
      <c r="G35" s="119"/>
      <c r="H35" s="119"/>
      <c r="I35" s="119"/>
      <c r="J35" s="119"/>
      <c r="K35" s="119"/>
      <c r="L35" s="119"/>
      <c r="M35" s="38"/>
    </row>
    <row r="36" spans="1:13" ht="39.6" customHeight="1">
      <c r="A36" s="153"/>
      <c r="B36" s="120"/>
      <c r="C36" s="121"/>
      <c r="D36" s="122"/>
      <c r="E36" s="119"/>
      <c r="F36" s="119"/>
      <c r="G36" s="119"/>
      <c r="H36" s="119"/>
      <c r="I36" s="119"/>
      <c r="J36" s="119"/>
      <c r="K36" s="120"/>
      <c r="L36" s="122"/>
      <c r="M36" s="38"/>
    </row>
    <row r="37" spans="1:13" ht="39.6" customHeight="1">
      <c r="A37" s="153"/>
      <c r="B37" s="119"/>
      <c r="C37" s="119"/>
      <c r="D37" s="119"/>
      <c r="E37" s="119"/>
      <c r="F37" s="119"/>
      <c r="G37" s="119"/>
      <c r="H37" s="119"/>
      <c r="I37" s="119"/>
      <c r="J37" s="119"/>
      <c r="K37" s="119"/>
      <c r="L37" s="119"/>
      <c r="M37" s="38"/>
    </row>
    <row r="38" spans="1:13" ht="39.6" customHeight="1">
      <c r="A38" s="153"/>
      <c r="B38" s="119"/>
      <c r="C38" s="119"/>
      <c r="D38" s="119"/>
      <c r="E38" s="119"/>
      <c r="F38" s="119"/>
      <c r="G38" s="119"/>
      <c r="H38" s="119"/>
      <c r="I38" s="119"/>
      <c r="J38" s="119"/>
      <c r="K38" s="119"/>
      <c r="L38" s="119"/>
      <c r="M38" s="38"/>
    </row>
    <row r="39" spans="1:13" ht="39.6" customHeight="1">
      <c r="A39" s="153"/>
      <c r="B39" s="120"/>
      <c r="C39" s="121"/>
      <c r="D39" s="122"/>
      <c r="E39" s="120"/>
      <c r="F39" s="121"/>
      <c r="G39" s="121"/>
      <c r="H39" s="121"/>
      <c r="I39" s="121"/>
      <c r="J39" s="122"/>
      <c r="K39" s="120"/>
      <c r="L39" s="122"/>
      <c r="M39" s="38"/>
    </row>
    <row r="40" spans="1:13" ht="39.6" customHeight="1">
      <c r="A40" s="153"/>
      <c r="B40" s="119"/>
      <c r="C40" s="119"/>
      <c r="D40" s="119"/>
      <c r="E40" s="119"/>
      <c r="F40" s="119"/>
      <c r="G40" s="119"/>
      <c r="H40" s="119"/>
      <c r="I40" s="119"/>
      <c r="J40" s="119"/>
      <c r="K40" s="119"/>
      <c r="L40" s="119"/>
      <c r="M40" s="38"/>
    </row>
    <row r="41" spans="1:13" ht="39.6" customHeight="1">
      <c r="A41" s="153"/>
      <c r="B41" s="120"/>
      <c r="C41" s="121"/>
      <c r="D41" s="122"/>
      <c r="E41" s="120"/>
      <c r="F41" s="121"/>
      <c r="G41" s="121"/>
      <c r="H41" s="121"/>
      <c r="I41" s="121"/>
      <c r="J41" s="122"/>
      <c r="K41" s="119"/>
      <c r="L41" s="119"/>
      <c r="M41" s="38"/>
    </row>
    <row r="42" spans="1:13" ht="39.6" customHeight="1">
      <c r="A42" s="123"/>
      <c r="B42" s="119"/>
      <c r="C42" s="119"/>
      <c r="D42" s="119"/>
      <c r="E42" s="119"/>
      <c r="F42" s="119"/>
      <c r="G42" s="119"/>
      <c r="H42" s="119"/>
      <c r="I42" s="119"/>
      <c r="J42" s="119"/>
      <c r="K42" s="119"/>
      <c r="L42" s="119"/>
      <c r="M42" s="38"/>
    </row>
    <row r="43" spans="1:13" ht="39.6" customHeight="1">
      <c r="A43" s="113"/>
      <c r="B43" s="109"/>
      <c r="C43" s="109"/>
      <c r="D43" s="109"/>
      <c r="E43" s="109"/>
      <c r="F43" s="109"/>
      <c r="G43" s="109"/>
      <c r="H43" s="109"/>
      <c r="I43" s="109"/>
      <c r="J43" s="109"/>
      <c r="K43" s="109"/>
      <c r="L43" s="109"/>
      <c r="M43" s="78"/>
    </row>
    <row r="44" spans="1:13" ht="39.6" customHeight="1">
      <c r="A44" s="150"/>
      <c r="B44" s="110"/>
      <c r="C44" s="111"/>
      <c r="D44" s="112"/>
      <c r="E44" s="109"/>
      <c r="F44" s="109"/>
      <c r="G44" s="109"/>
      <c r="H44" s="109"/>
      <c r="I44" s="109"/>
      <c r="J44" s="109"/>
      <c r="K44" s="110"/>
      <c r="L44" s="112"/>
      <c r="M44" s="78"/>
    </row>
    <row r="45" spans="1:13" ht="39.6" customHeight="1">
      <c r="A45" s="150"/>
      <c r="B45" s="109"/>
      <c r="C45" s="109"/>
      <c r="D45" s="109"/>
      <c r="E45" s="109"/>
      <c r="F45" s="109"/>
      <c r="G45" s="109"/>
      <c r="H45" s="109"/>
      <c r="I45" s="109"/>
      <c r="J45" s="109"/>
      <c r="K45" s="109"/>
      <c r="L45" s="109"/>
      <c r="M45" s="78"/>
    </row>
    <row r="46" spans="1:13" ht="39.6" customHeight="1">
      <c r="A46" s="150"/>
      <c r="B46" s="109"/>
      <c r="C46" s="109"/>
      <c r="D46" s="109"/>
      <c r="E46" s="109"/>
      <c r="F46" s="109"/>
      <c r="G46" s="109"/>
      <c r="H46" s="109"/>
      <c r="I46" s="109"/>
      <c r="J46" s="109"/>
      <c r="K46" s="109"/>
      <c r="L46" s="109"/>
      <c r="M46" s="78"/>
    </row>
    <row r="47" spans="1:13" ht="39.6" customHeight="1">
      <c r="A47" s="150"/>
      <c r="B47" s="110"/>
      <c r="C47" s="111"/>
      <c r="D47" s="112"/>
      <c r="E47" s="110"/>
      <c r="F47" s="111"/>
      <c r="G47" s="111"/>
      <c r="H47" s="111"/>
      <c r="I47" s="111"/>
      <c r="J47" s="112"/>
      <c r="K47" s="110"/>
      <c r="L47" s="112"/>
      <c r="M47" s="78"/>
    </row>
    <row r="48" spans="1:13" ht="39.6" customHeight="1">
      <c r="A48" s="150"/>
      <c r="B48" s="109"/>
      <c r="C48" s="109"/>
      <c r="D48" s="109"/>
      <c r="E48" s="109"/>
      <c r="F48" s="109"/>
      <c r="G48" s="109"/>
      <c r="H48" s="109"/>
      <c r="I48" s="109"/>
      <c r="J48" s="109"/>
      <c r="K48" s="109"/>
      <c r="L48" s="109"/>
      <c r="M48" s="78"/>
    </row>
    <row r="49" spans="1:13" ht="39.6" customHeight="1">
      <c r="A49" s="150"/>
      <c r="B49" s="110"/>
      <c r="C49" s="111"/>
      <c r="D49" s="112"/>
      <c r="E49" s="110"/>
      <c r="F49" s="111"/>
      <c r="G49" s="111"/>
      <c r="H49" s="111"/>
      <c r="I49" s="111"/>
      <c r="J49" s="112"/>
      <c r="K49" s="109"/>
      <c r="L49" s="109"/>
      <c r="M49" s="78"/>
    </row>
    <row r="50" spans="1:13" ht="39.6" customHeight="1">
      <c r="A50" s="151"/>
      <c r="B50" s="109"/>
      <c r="C50" s="109"/>
      <c r="D50" s="109"/>
      <c r="E50" s="109"/>
      <c r="F50" s="109"/>
      <c r="G50" s="109"/>
      <c r="H50" s="109"/>
      <c r="I50" s="109"/>
      <c r="J50" s="109"/>
      <c r="K50" s="109"/>
      <c r="L50" s="109"/>
      <c r="M50" s="78"/>
    </row>
    <row r="51" spans="1:13" ht="39.6" customHeight="1">
      <c r="A51" s="154"/>
      <c r="B51" s="119"/>
      <c r="C51" s="119"/>
      <c r="D51" s="119"/>
      <c r="E51" s="119"/>
      <c r="F51" s="119"/>
      <c r="G51" s="119"/>
      <c r="H51" s="119"/>
      <c r="I51" s="119"/>
      <c r="J51" s="119"/>
      <c r="K51" s="119"/>
      <c r="L51" s="119"/>
      <c r="M51" s="38"/>
    </row>
    <row r="52" spans="1:13" ht="39.6" customHeight="1">
      <c r="A52" s="153"/>
      <c r="B52" s="120"/>
      <c r="C52" s="121"/>
      <c r="D52" s="122"/>
      <c r="E52" s="119"/>
      <c r="F52" s="119"/>
      <c r="G52" s="119"/>
      <c r="H52" s="119"/>
      <c r="I52" s="119"/>
      <c r="J52" s="119"/>
      <c r="K52" s="120"/>
      <c r="L52" s="122"/>
      <c r="M52" s="38"/>
    </row>
    <row r="53" spans="1:13" ht="39.6" customHeight="1">
      <c r="A53" s="153"/>
      <c r="B53" s="119"/>
      <c r="C53" s="119"/>
      <c r="D53" s="119"/>
      <c r="E53" s="119"/>
      <c r="F53" s="119"/>
      <c r="G53" s="119"/>
      <c r="H53" s="119"/>
      <c r="I53" s="119"/>
      <c r="J53" s="119"/>
      <c r="K53" s="119"/>
      <c r="L53" s="119"/>
      <c r="M53" s="38"/>
    </row>
    <row r="54" spans="1:13" ht="39.6" customHeight="1">
      <c r="A54" s="153"/>
      <c r="B54" s="119"/>
      <c r="C54" s="119"/>
      <c r="D54" s="119"/>
      <c r="E54" s="119"/>
      <c r="F54" s="119"/>
      <c r="G54" s="119"/>
      <c r="H54" s="119"/>
      <c r="I54" s="119"/>
      <c r="J54" s="119"/>
      <c r="K54" s="119"/>
      <c r="L54" s="119"/>
      <c r="M54" s="38"/>
    </row>
    <row r="55" spans="1:13" ht="39.6" customHeight="1">
      <c r="A55" s="153"/>
      <c r="B55" s="120"/>
      <c r="C55" s="121"/>
      <c r="D55" s="122"/>
      <c r="E55" s="120"/>
      <c r="F55" s="121"/>
      <c r="G55" s="121"/>
      <c r="H55" s="121"/>
      <c r="I55" s="121"/>
      <c r="J55" s="122"/>
      <c r="K55" s="120"/>
      <c r="L55" s="122"/>
      <c r="M55" s="38"/>
    </row>
    <row r="56" spans="1:13" ht="39.6" customHeight="1">
      <c r="A56" s="153"/>
      <c r="B56" s="119"/>
      <c r="C56" s="119"/>
      <c r="D56" s="119"/>
      <c r="E56" s="119"/>
      <c r="F56" s="119"/>
      <c r="G56" s="119"/>
      <c r="H56" s="119"/>
      <c r="I56" s="119"/>
      <c r="J56" s="119"/>
      <c r="K56" s="119"/>
      <c r="L56" s="119"/>
      <c r="M56" s="38"/>
    </row>
    <row r="57" spans="1:13" ht="39.6" customHeight="1">
      <c r="A57" s="153"/>
      <c r="B57" s="120"/>
      <c r="C57" s="121"/>
      <c r="D57" s="122"/>
      <c r="E57" s="120"/>
      <c r="F57" s="121"/>
      <c r="G57" s="121"/>
      <c r="H57" s="121"/>
      <c r="I57" s="121"/>
      <c r="J57" s="122"/>
      <c r="K57" s="119"/>
      <c r="L57" s="119"/>
      <c r="M57" s="38"/>
    </row>
    <row r="58" spans="1:13" ht="39.6" customHeight="1">
      <c r="A58" s="153"/>
      <c r="B58" s="119"/>
      <c r="C58" s="119"/>
      <c r="D58" s="119"/>
      <c r="E58" s="119"/>
      <c r="F58" s="119"/>
      <c r="G58" s="119"/>
      <c r="H58" s="119"/>
      <c r="I58" s="119"/>
      <c r="J58" s="119"/>
      <c r="K58" s="119"/>
      <c r="L58" s="119"/>
      <c r="M58" s="38"/>
    </row>
    <row r="59" spans="1:13" ht="39.6" customHeight="1">
      <c r="A59" s="123"/>
      <c r="B59" s="120"/>
      <c r="C59" s="121"/>
      <c r="D59" s="122"/>
      <c r="E59" s="120"/>
      <c r="F59" s="121"/>
      <c r="G59" s="121"/>
      <c r="H59" s="121"/>
      <c r="I59" s="121"/>
      <c r="J59" s="122"/>
      <c r="K59" s="119"/>
      <c r="L59" s="119"/>
      <c r="M59" s="38"/>
    </row>
    <row r="60" spans="1:13" ht="39.6" customHeight="1">
      <c r="A60" s="113"/>
      <c r="B60" s="137"/>
      <c r="C60" s="137"/>
      <c r="D60" s="137"/>
      <c r="E60" s="137"/>
      <c r="F60" s="137"/>
      <c r="G60" s="137"/>
      <c r="H60" s="137"/>
      <c r="I60" s="137"/>
      <c r="J60" s="137"/>
      <c r="K60" s="137"/>
      <c r="L60" s="137"/>
      <c r="M60" s="37"/>
    </row>
    <row r="61" spans="1:13" ht="39.6" customHeight="1">
      <c r="A61" s="150"/>
      <c r="B61" s="141"/>
      <c r="C61" s="142"/>
      <c r="D61" s="143"/>
      <c r="E61" s="137"/>
      <c r="F61" s="137"/>
      <c r="G61" s="137"/>
      <c r="H61" s="137"/>
      <c r="I61" s="137"/>
      <c r="J61" s="137"/>
      <c r="K61" s="141"/>
      <c r="L61" s="143"/>
      <c r="M61" s="37"/>
    </row>
    <row r="62" spans="1:13" ht="39.6" customHeight="1">
      <c r="A62" s="150"/>
      <c r="B62" s="137"/>
      <c r="C62" s="137"/>
      <c r="D62" s="137"/>
      <c r="E62" s="137"/>
      <c r="F62" s="137"/>
      <c r="G62" s="137"/>
      <c r="H62" s="137"/>
      <c r="I62" s="137"/>
      <c r="J62" s="137"/>
      <c r="K62" s="137"/>
      <c r="L62" s="137"/>
      <c r="M62" s="37"/>
    </row>
    <row r="63" spans="1:13" ht="39.6" customHeight="1">
      <c r="A63" s="150"/>
      <c r="B63" s="137"/>
      <c r="C63" s="137"/>
      <c r="D63" s="137"/>
      <c r="E63" s="137"/>
      <c r="F63" s="137"/>
      <c r="G63" s="137"/>
      <c r="H63" s="137"/>
      <c r="I63" s="137"/>
      <c r="J63" s="137"/>
      <c r="K63" s="137"/>
      <c r="L63" s="137"/>
      <c r="M63" s="37"/>
    </row>
    <row r="64" spans="1:13" ht="39.6" customHeight="1">
      <c r="A64" s="150"/>
      <c r="B64" s="141"/>
      <c r="C64" s="142"/>
      <c r="D64" s="143"/>
      <c r="E64" s="141"/>
      <c r="F64" s="142"/>
      <c r="G64" s="142"/>
      <c r="H64" s="142"/>
      <c r="I64" s="142"/>
      <c r="J64" s="143"/>
      <c r="K64" s="141"/>
      <c r="L64" s="143"/>
      <c r="M64" s="37"/>
    </row>
    <row r="65" spans="1:13" ht="39.6" customHeight="1">
      <c r="A65" s="150"/>
      <c r="B65" s="137"/>
      <c r="C65" s="137"/>
      <c r="D65" s="137"/>
      <c r="E65" s="137"/>
      <c r="F65" s="137"/>
      <c r="G65" s="137"/>
      <c r="H65" s="137"/>
      <c r="I65" s="137"/>
      <c r="J65" s="137"/>
      <c r="K65" s="137"/>
      <c r="L65" s="137"/>
      <c r="M65" s="37"/>
    </row>
    <row r="66" spans="1:13" ht="39.6" customHeight="1">
      <c r="A66" s="150"/>
      <c r="B66" s="141"/>
      <c r="C66" s="142"/>
      <c r="D66" s="143"/>
      <c r="E66" s="141"/>
      <c r="F66" s="142"/>
      <c r="G66" s="142"/>
      <c r="H66" s="142"/>
      <c r="I66" s="142"/>
      <c r="J66" s="143"/>
      <c r="K66" s="137"/>
      <c r="L66" s="137"/>
      <c r="M66" s="37"/>
    </row>
    <row r="67" spans="1:13" ht="39.6" customHeight="1">
      <c r="A67" s="150"/>
      <c r="B67" s="137"/>
      <c r="C67" s="137"/>
      <c r="D67" s="137"/>
      <c r="E67" s="137"/>
      <c r="F67" s="137"/>
      <c r="G67" s="137"/>
      <c r="H67" s="137"/>
      <c r="I67" s="137"/>
      <c r="J67" s="137"/>
      <c r="K67" s="137"/>
      <c r="L67" s="137"/>
      <c r="M67" s="37"/>
    </row>
    <row r="68" spans="1:13" ht="39.6" customHeight="1">
      <c r="A68" s="151"/>
      <c r="B68" s="141"/>
      <c r="C68" s="142"/>
      <c r="D68" s="143"/>
      <c r="E68" s="141"/>
      <c r="F68" s="142"/>
      <c r="G68" s="142"/>
      <c r="H68" s="142"/>
      <c r="I68" s="142"/>
      <c r="J68" s="143"/>
      <c r="K68" s="137"/>
      <c r="L68" s="137"/>
      <c r="M68" s="37"/>
    </row>
    <row r="69" spans="1:13" ht="39.6" customHeight="1">
      <c r="A69" s="152"/>
      <c r="B69" s="119"/>
      <c r="C69" s="119"/>
      <c r="D69" s="119"/>
      <c r="E69" s="119"/>
      <c r="F69" s="119"/>
      <c r="G69" s="119"/>
      <c r="H69" s="119"/>
      <c r="I69" s="119"/>
      <c r="J69" s="119"/>
      <c r="K69" s="119"/>
      <c r="L69" s="119"/>
      <c r="M69" s="38"/>
    </row>
    <row r="70" spans="1:13" ht="39.6" customHeight="1">
      <c r="A70" s="153"/>
      <c r="B70" s="120"/>
      <c r="C70" s="121"/>
      <c r="D70" s="122"/>
      <c r="E70" s="119"/>
      <c r="F70" s="119"/>
      <c r="G70" s="119"/>
      <c r="H70" s="119"/>
      <c r="I70" s="119"/>
      <c r="J70" s="119"/>
      <c r="K70" s="120"/>
      <c r="L70" s="122"/>
      <c r="M70" s="38"/>
    </row>
    <row r="71" spans="1:13" ht="39.6" customHeight="1">
      <c r="A71" s="153"/>
      <c r="B71" s="119"/>
      <c r="C71" s="119"/>
      <c r="D71" s="119"/>
      <c r="E71" s="119"/>
      <c r="F71" s="119"/>
      <c r="G71" s="119"/>
      <c r="H71" s="119"/>
      <c r="I71" s="119"/>
      <c r="J71" s="119"/>
      <c r="K71" s="119"/>
      <c r="L71" s="119"/>
      <c r="M71" s="38"/>
    </row>
    <row r="72" spans="1:13" ht="39.6" customHeight="1">
      <c r="A72" s="153"/>
      <c r="B72" s="119"/>
      <c r="C72" s="119"/>
      <c r="D72" s="119"/>
      <c r="E72" s="119"/>
      <c r="F72" s="119"/>
      <c r="G72" s="119"/>
      <c r="H72" s="119"/>
      <c r="I72" s="119"/>
      <c r="J72" s="119"/>
      <c r="K72" s="119"/>
      <c r="L72" s="119"/>
      <c r="M72" s="38"/>
    </row>
    <row r="73" spans="1:13" ht="39.6" customHeight="1">
      <c r="A73" s="153"/>
      <c r="B73" s="120"/>
      <c r="C73" s="121"/>
      <c r="D73" s="122"/>
      <c r="E73" s="120"/>
      <c r="F73" s="121"/>
      <c r="G73" s="121"/>
      <c r="H73" s="121"/>
      <c r="I73" s="121"/>
      <c r="J73" s="122"/>
      <c r="K73" s="120"/>
      <c r="L73" s="122"/>
      <c r="M73" s="38"/>
    </row>
    <row r="74" spans="1:13" ht="39.6" customHeight="1">
      <c r="A74" s="153"/>
      <c r="B74" s="119"/>
      <c r="C74" s="119"/>
      <c r="D74" s="119"/>
      <c r="E74" s="119"/>
      <c r="F74" s="119"/>
      <c r="G74" s="119"/>
      <c r="H74" s="119"/>
      <c r="I74" s="119"/>
      <c r="J74" s="119"/>
      <c r="K74" s="119"/>
      <c r="L74" s="119"/>
      <c r="M74" s="38"/>
    </row>
    <row r="75" spans="1:13" ht="39.6" customHeight="1">
      <c r="A75" s="153"/>
      <c r="B75" s="120"/>
      <c r="C75" s="121"/>
      <c r="D75" s="122"/>
      <c r="E75" s="120"/>
      <c r="F75" s="121"/>
      <c r="G75" s="121"/>
      <c r="H75" s="121"/>
      <c r="I75" s="121"/>
      <c r="J75" s="122"/>
      <c r="K75" s="119"/>
      <c r="L75" s="119"/>
      <c r="M75" s="38"/>
    </row>
    <row r="76" spans="1:13" ht="39.6" customHeight="1">
      <c r="A76" s="153"/>
      <c r="B76" s="119"/>
      <c r="C76" s="119"/>
      <c r="D76" s="119"/>
      <c r="E76" s="119"/>
      <c r="F76" s="119"/>
      <c r="G76" s="119"/>
      <c r="H76" s="119"/>
      <c r="I76" s="119"/>
      <c r="J76" s="119"/>
      <c r="K76" s="119"/>
      <c r="L76" s="119"/>
      <c r="M76" s="38"/>
    </row>
    <row r="77" spans="1:13" ht="39.6" customHeight="1">
      <c r="A77" s="123"/>
      <c r="B77" s="120"/>
      <c r="C77" s="121"/>
      <c r="D77" s="122"/>
      <c r="E77" s="120"/>
      <c r="F77" s="121"/>
      <c r="G77" s="121"/>
      <c r="H77" s="121"/>
      <c r="I77" s="121"/>
      <c r="J77" s="122"/>
      <c r="K77" s="119"/>
      <c r="L77" s="119"/>
      <c r="M77" s="38"/>
    </row>
    <row r="78" spans="1:13" ht="39.6" customHeight="1">
      <c r="A78" s="155"/>
      <c r="B78" s="110"/>
      <c r="C78" s="111"/>
      <c r="D78" s="112"/>
      <c r="E78" s="109"/>
      <c r="F78" s="109"/>
      <c r="G78" s="109"/>
      <c r="H78" s="109"/>
      <c r="I78" s="109"/>
      <c r="J78" s="109"/>
      <c r="K78" s="110"/>
      <c r="L78" s="112"/>
      <c r="M78" s="78"/>
    </row>
    <row r="79" spans="1:13" ht="39.6" customHeight="1">
      <c r="A79" s="156"/>
      <c r="B79" s="109"/>
      <c r="C79" s="109"/>
      <c r="D79" s="109"/>
      <c r="E79" s="109"/>
      <c r="F79" s="109"/>
      <c r="G79" s="109"/>
      <c r="H79" s="109"/>
      <c r="I79" s="109"/>
      <c r="J79" s="109"/>
      <c r="K79" s="109"/>
      <c r="L79" s="109"/>
      <c r="M79" s="78"/>
    </row>
    <row r="80" spans="1:13" ht="39.6" customHeight="1">
      <c r="A80" s="156"/>
      <c r="B80" s="109"/>
      <c r="C80" s="109"/>
      <c r="D80" s="109"/>
      <c r="E80" s="109"/>
      <c r="F80" s="109"/>
      <c r="G80" s="109"/>
      <c r="H80" s="109"/>
      <c r="I80" s="109"/>
      <c r="J80" s="109"/>
      <c r="K80" s="109"/>
      <c r="L80" s="109"/>
      <c r="M80" s="78"/>
    </row>
    <row r="81" spans="1:13" ht="39.6" customHeight="1">
      <c r="A81" s="156"/>
      <c r="B81" s="110"/>
      <c r="C81" s="111"/>
      <c r="D81" s="112"/>
      <c r="E81" s="110"/>
      <c r="F81" s="111"/>
      <c r="G81" s="111"/>
      <c r="H81" s="111"/>
      <c r="I81" s="111"/>
      <c r="J81" s="112"/>
      <c r="K81" s="110"/>
      <c r="L81" s="112"/>
      <c r="M81" s="78"/>
    </row>
    <row r="82" spans="1:13" ht="39.6" customHeight="1">
      <c r="A82" s="157"/>
      <c r="B82" s="161"/>
      <c r="C82" s="162"/>
      <c r="D82" s="163"/>
      <c r="E82" s="136"/>
      <c r="F82" s="136"/>
      <c r="G82" s="136"/>
      <c r="H82" s="136"/>
      <c r="I82" s="136"/>
      <c r="J82" s="136"/>
      <c r="K82" s="161"/>
      <c r="L82" s="163"/>
      <c r="M82" s="39"/>
    </row>
    <row r="83" spans="1:13" ht="39.6" customHeight="1">
      <c r="A83" s="158"/>
      <c r="B83" s="136"/>
      <c r="C83" s="136"/>
      <c r="D83" s="136"/>
      <c r="E83" s="136"/>
      <c r="F83" s="136"/>
      <c r="G83" s="136"/>
      <c r="H83" s="136"/>
      <c r="I83" s="136"/>
      <c r="J83" s="136"/>
      <c r="K83" s="136"/>
      <c r="L83" s="136"/>
      <c r="M83" s="39"/>
    </row>
    <row r="84" spans="1:13" ht="39.6" customHeight="1">
      <c r="A84" s="158"/>
      <c r="B84" s="136"/>
      <c r="C84" s="136"/>
      <c r="D84" s="136"/>
      <c r="E84" s="136"/>
      <c r="F84" s="136"/>
      <c r="G84" s="136"/>
      <c r="H84" s="136"/>
      <c r="I84" s="136"/>
      <c r="J84" s="136"/>
      <c r="K84" s="136"/>
      <c r="L84" s="136"/>
      <c r="M84" s="39"/>
    </row>
    <row r="85" spans="1:13" ht="39.6" customHeight="1">
      <c r="A85" s="158"/>
      <c r="B85" s="161"/>
      <c r="C85" s="162"/>
      <c r="D85" s="163"/>
      <c r="E85" s="161"/>
      <c r="F85" s="162"/>
      <c r="G85" s="162"/>
      <c r="H85" s="162"/>
      <c r="I85" s="162"/>
      <c r="J85" s="163"/>
      <c r="K85" s="161"/>
      <c r="L85" s="163"/>
      <c r="M85" s="39"/>
    </row>
    <row r="86" spans="1:13" ht="39.6" customHeight="1">
      <c r="A86" s="158"/>
      <c r="B86" s="136"/>
      <c r="C86" s="136"/>
      <c r="D86" s="136"/>
      <c r="E86" s="136"/>
      <c r="F86" s="136"/>
      <c r="G86" s="136"/>
      <c r="H86" s="136"/>
      <c r="I86" s="136"/>
      <c r="J86" s="136"/>
      <c r="K86" s="136"/>
      <c r="L86" s="136"/>
      <c r="M86" s="39"/>
    </row>
    <row r="87" spans="1:13" ht="39.6" customHeight="1">
      <c r="A87" s="158"/>
      <c r="B87" s="161"/>
      <c r="C87" s="162"/>
      <c r="D87" s="163"/>
      <c r="E87" s="161"/>
      <c r="F87" s="162"/>
      <c r="G87" s="162"/>
      <c r="H87" s="162"/>
      <c r="I87" s="162"/>
      <c r="J87" s="163"/>
      <c r="K87" s="136"/>
      <c r="L87" s="136"/>
      <c r="M87" s="39"/>
    </row>
    <row r="88" spans="1:13" ht="39.6" customHeight="1">
      <c r="A88" s="158"/>
      <c r="B88" s="136"/>
      <c r="C88" s="136"/>
      <c r="D88" s="136"/>
      <c r="E88" s="136"/>
      <c r="F88" s="136"/>
      <c r="G88" s="136"/>
      <c r="H88" s="136"/>
      <c r="I88" s="136"/>
      <c r="J88" s="136"/>
      <c r="K88" s="136"/>
      <c r="L88" s="136"/>
      <c r="M88" s="39"/>
    </row>
    <row r="89" spans="1:13" ht="39.6" customHeight="1">
      <c r="A89" s="159"/>
      <c r="B89" s="137"/>
      <c r="C89" s="137"/>
      <c r="D89" s="137"/>
      <c r="E89" s="137"/>
      <c r="F89" s="137"/>
      <c r="G89" s="137"/>
      <c r="H89" s="137"/>
      <c r="I89" s="137"/>
      <c r="J89" s="137"/>
      <c r="K89" s="137"/>
      <c r="L89" s="137"/>
      <c r="M89" s="37"/>
    </row>
    <row r="90" spans="1:13" ht="39.6" customHeight="1">
      <c r="A90" s="160"/>
      <c r="B90" s="141"/>
      <c r="C90" s="142"/>
      <c r="D90" s="143"/>
      <c r="E90" s="137"/>
      <c r="F90" s="137"/>
      <c r="G90" s="137"/>
      <c r="H90" s="137"/>
      <c r="I90" s="137"/>
      <c r="J90" s="137"/>
      <c r="K90" s="141"/>
      <c r="L90" s="143"/>
      <c r="M90" s="37"/>
    </row>
    <row r="91" spans="1:13" ht="39.6" customHeight="1">
      <c r="A91" s="160"/>
      <c r="B91" s="137"/>
      <c r="C91" s="137"/>
      <c r="D91" s="137"/>
      <c r="E91" s="137"/>
      <c r="F91" s="137"/>
      <c r="G91" s="137"/>
      <c r="H91" s="137"/>
      <c r="I91" s="137"/>
      <c r="J91" s="137"/>
      <c r="K91" s="137"/>
      <c r="L91" s="137"/>
      <c r="M91" s="37"/>
    </row>
    <row r="92" spans="1:13" ht="39.6" customHeight="1">
      <c r="A92" s="160"/>
      <c r="B92" s="137"/>
      <c r="C92" s="137"/>
      <c r="D92" s="137"/>
      <c r="E92" s="137"/>
      <c r="F92" s="137"/>
      <c r="G92" s="137"/>
      <c r="H92" s="137"/>
      <c r="I92" s="137"/>
      <c r="J92" s="137"/>
      <c r="K92" s="137"/>
      <c r="L92" s="137"/>
      <c r="M92" s="37"/>
    </row>
    <row r="93" spans="1:13" ht="39.6" customHeight="1">
      <c r="A93" s="160"/>
      <c r="B93" s="141"/>
      <c r="C93" s="142"/>
      <c r="D93" s="143"/>
      <c r="E93" s="141"/>
      <c r="F93" s="142"/>
      <c r="G93" s="142"/>
      <c r="H93" s="142"/>
      <c r="I93" s="142"/>
      <c r="J93" s="143"/>
      <c r="K93" s="141"/>
      <c r="L93" s="143"/>
      <c r="M93" s="37"/>
    </row>
    <row r="94" spans="1:13" ht="39.6" customHeight="1">
      <c r="A94" s="160"/>
      <c r="B94" s="137"/>
      <c r="C94" s="137"/>
      <c r="D94" s="137"/>
      <c r="E94" s="137"/>
      <c r="F94" s="137"/>
      <c r="G94" s="137"/>
      <c r="H94" s="137"/>
      <c r="I94" s="137"/>
      <c r="J94" s="137"/>
      <c r="K94" s="137"/>
      <c r="L94" s="137"/>
      <c r="M94" s="37"/>
    </row>
    <row r="95" spans="1:13" ht="39.6" customHeight="1">
      <c r="A95" s="160"/>
      <c r="B95" s="141"/>
      <c r="C95" s="142"/>
      <c r="D95" s="143"/>
      <c r="E95" s="141"/>
      <c r="F95" s="142"/>
      <c r="G95" s="142"/>
      <c r="H95" s="142"/>
      <c r="I95" s="142"/>
      <c r="J95" s="143"/>
      <c r="K95" s="137"/>
      <c r="L95" s="137"/>
      <c r="M95" s="37"/>
    </row>
    <row r="96" spans="1:13" ht="39.6" customHeight="1">
      <c r="A96" s="160"/>
      <c r="B96" s="137"/>
      <c r="C96" s="137"/>
      <c r="D96" s="137"/>
      <c r="E96" s="137"/>
      <c r="F96" s="137"/>
      <c r="G96" s="137"/>
      <c r="H96" s="137"/>
      <c r="I96" s="137"/>
      <c r="J96" s="137"/>
      <c r="K96" s="137"/>
      <c r="L96" s="137"/>
      <c r="M96" s="37"/>
    </row>
    <row r="97" spans="1:13" ht="39.6" customHeight="1">
      <c r="A97" s="160"/>
      <c r="B97" s="137"/>
      <c r="C97" s="137"/>
      <c r="D97" s="137"/>
      <c r="E97" s="137"/>
      <c r="F97" s="137"/>
      <c r="G97" s="137"/>
      <c r="H97" s="137"/>
      <c r="I97" s="137"/>
      <c r="J97" s="137"/>
      <c r="K97" s="137"/>
      <c r="L97" s="137"/>
      <c r="M97" s="37"/>
    </row>
    <row r="98" spans="1:13" ht="39.6" customHeight="1">
      <c r="A98" s="154"/>
      <c r="B98" s="119"/>
      <c r="C98" s="119"/>
      <c r="D98" s="119"/>
      <c r="E98" s="119"/>
      <c r="F98" s="119"/>
      <c r="G98" s="119"/>
      <c r="H98" s="119"/>
      <c r="I98" s="119"/>
      <c r="J98" s="119"/>
      <c r="K98" s="119"/>
      <c r="L98" s="119"/>
      <c r="M98" s="38"/>
    </row>
    <row r="99" spans="1:13" ht="39.6" customHeight="1">
      <c r="A99" s="153"/>
      <c r="B99" s="120"/>
      <c r="C99" s="121"/>
      <c r="D99" s="122"/>
      <c r="E99" s="119"/>
      <c r="F99" s="119"/>
      <c r="G99" s="119"/>
      <c r="H99" s="119"/>
      <c r="I99" s="119"/>
      <c r="J99" s="119"/>
      <c r="K99" s="120"/>
      <c r="L99" s="122"/>
      <c r="M99" s="38"/>
    </row>
    <row r="100" spans="1:13" ht="39.6" customHeight="1">
      <c r="A100" s="153"/>
      <c r="B100" s="119"/>
      <c r="C100" s="119"/>
      <c r="D100" s="119"/>
      <c r="E100" s="119"/>
      <c r="F100" s="119"/>
      <c r="G100" s="119"/>
      <c r="H100" s="119"/>
      <c r="I100" s="119"/>
      <c r="J100" s="119"/>
      <c r="K100" s="119"/>
      <c r="L100" s="119"/>
      <c r="M100" s="38"/>
    </row>
    <row r="101" spans="1:13" ht="39.6" customHeight="1">
      <c r="A101" s="153"/>
      <c r="B101" s="119"/>
      <c r="C101" s="119"/>
      <c r="D101" s="119"/>
      <c r="E101" s="119"/>
      <c r="F101" s="119"/>
      <c r="G101" s="119"/>
      <c r="H101" s="119"/>
      <c r="I101" s="119"/>
      <c r="J101" s="119"/>
      <c r="K101" s="119"/>
      <c r="L101" s="119"/>
      <c r="M101" s="38"/>
    </row>
    <row r="102" spans="1:13" ht="39.6" customHeight="1">
      <c r="A102" s="153"/>
      <c r="B102" s="120"/>
      <c r="C102" s="121"/>
      <c r="D102" s="122"/>
      <c r="E102" s="120"/>
      <c r="F102" s="121"/>
      <c r="G102" s="121"/>
      <c r="H102" s="121"/>
      <c r="I102" s="121"/>
      <c r="J102" s="122"/>
      <c r="K102" s="120"/>
      <c r="L102" s="122"/>
      <c r="M102" s="38"/>
    </row>
    <row r="103" spans="1:13" ht="39.6" customHeight="1">
      <c r="A103" s="153"/>
      <c r="B103" s="119"/>
      <c r="C103" s="119"/>
      <c r="D103" s="119"/>
      <c r="E103" s="119"/>
      <c r="F103" s="119"/>
      <c r="G103" s="119"/>
      <c r="H103" s="119"/>
      <c r="I103" s="119"/>
      <c r="J103" s="119"/>
      <c r="K103" s="119"/>
      <c r="L103" s="119"/>
      <c r="M103" s="38"/>
    </row>
    <row r="104" spans="1:13" ht="39.6" customHeight="1">
      <c r="A104" s="153"/>
      <c r="B104" s="120"/>
      <c r="C104" s="121"/>
      <c r="D104" s="122"/>
      <c r="E104" s="120"/>
      <c r="F104" s="121"/>
      <c r="G104" s="121"/>
      <c r="H104" s="121"/>
      <c r="I104" s="121"/>
      <c r="J104" s="122"/>
      <c r="K104" s="119"/>
      <c r="L104" s="119"/>
      <c r="M104" s="38"/>
    </row>
    <row r="105" spans="1:13" ht="39.6" customHeight="1">
      <c r="A105" s="153"/>
      <c r="B105" s="119"/>
      <c r="C105" s="119"/>
      <c r="D105" s="119"/>
      <c r="E105" s="119"/>
      <c r="F105" s="119"/>
      <c r="G105" s="119"/>
      <c r="H105" s="119"/>
      <c r="I105" s="119"/>
      <c r="J105" s="119"/>
      <c r="K105" s="119"/>
      <c r="L105" s="119"/>
      <c r="M105" s="38"/>
    </row>
    <row r="106" spans="1:13" ht="39.6" customHeight="1">
      <c r="A106" s="123"/>
      <c r="B106" s="120"/>
      <c r="C106" s="121"/>
      <c r="D106" s="122"/>
      <c r="E106" s="120"/>
      <c r="F106" s="121"/>
      <c r="G106" s="121"/>
      <c r="H106" s="121"/>
      <c r="I106" s="121"/>
      <c r="J106" s="122"/>
      <c r="K106" s="119"/>
      <c r="L106" s="119"/>
      <c r="M106" s="38"/>
    </row>
    <row r="107" spans="1:13" ht="39.6" customHeight="1">
      <c r="A107" s="113"/>
      <c r="B107" s="137"/>
      <c r="C107" s="137"/>
      <c r="D107" s="137"/>
      <c r="E107" s="137"/>
      <c r="F107" s="137"/>
      <c r="G107" s="137"/>
      <c r="H107" s="137"/>
      <c r="I107" s="137"/>
      <c r="J107" s="137"/>
      <c r="K107" s="137"/>
      <c r="L107" s="137"/>
      <c r="M107" s="37"/>
    </row>
    <row r="108" spans="1:13" ht="39.6" customHeight="1">
      <c r="A108" s="150"/>
      <c r="B108" s="141"/>
      <c r="C108" s="142"/>
      <c r="D108" s="143"/>
      <c r="E108" s="137"/>
      <c r="F108" s="137"/>
      <c r="G108" s="137"/>
      <c r="H108" s="137"/>
      <c r="I108" s="137"/>
      <c r="J108" s="137"/>
      <c r="K108" s="141"/>
      <c r="L108" s="143"/>
      <c r="M108" s="37"/>
    </row>
    <row r="109" spans="1:13" ht="39.6" customHeight="1">
      <c r="A109" s="150"/>
      <c r="B109" s="137"/>
      <c r="C109" s="137"/>
      <c r="D109" s="137"/>
      <c r="E109" s="137"/>
      <c r="F109" s="137"/>
      <c r="G109" s="137"/>
      <c r="H109" s="137"/>
      <c r="I109" s="137"/>
      <c r="J109" s="137"/>
      <c r="K109" s="137"/>
      <c r="L109" s="137"/>
      <c r="M109" s="37"/>
    </row>
    <row r="110" spans="1:13" ht="39.6" customHeight="1">
      <c r="A110" s="150"/>
      <c r="B110" s="137"/>
      <c r="C110" s="137"/>
      <c r="D110" s="137"/>
      <c r="E110" s="137"/>
      <c r="F110" s="137"/>
      <c r="G110" s="137"/>
      <c r="H110" s="137"/>
      <c r="I110" s="137"/>
      <c r="J110" s="137"/>
      <c r="K110" s="137"/>
      <c r="L110" s="137"/>
      <c r="M110" s="37"/>
    </row>
    <row r="111" spans="1:13" ht="39.6" customHeight="1">
      <c r="A111" s="150"/>
      <c r="B111" s="141"/>
      <c r="C111" s="142"/>
      <c r="D111" s="143"/>
      <c r="E111" s="141"/>
      <c r="F111" s="142"/>
      <c r="G111" s="142"/>
      <c r="H111" s="142"/>
      <c r="I111" s="142"/>
      <c r="J111" s="143"/>
      <c r="K111" s="141"/>
      <c r="L111" s="143"/>
      <c r="M111" s="37"/>
    </row>
    <row r="112" spans="1:13" ht="39.6" customHeight="1">
      <c r="A112" s="150"/>
      <c r="B112" s="137"/>
      <c r="C112" s="137"/>
      <c r="D112" s="137"/>
      <c r="E112" s="137"/>
      <c r="F112" s="137"/>
      <c r="G112" s="137"/>
      <c r="H112" s="137"/>
      <c r="I112" s="137"/>
      <c r="J112" s="137"/>
      <c r="K112" s="137"/>
      <c r="L112" s="137"/>
      <c r="M112" s="37"/>
    </row>
    <row r="113" spans="1:13" ht="39.6" customHeight="1">
      <c r="A113" s="150"/>
      <c r="B113" s="141"/>
      <c r="C113" s="142"/>
      <c r="D113" s="143"/>
      <c r="E113" s="141"/>
      <c r="F113" s="142"/>
      <c r="G113" s="142"/>
      <c r="H113" s="142"/>
      <c r="I113" s="142"/>
      <c r="J113" s="143"/>
      <c r="K113" s="137"/>
      <c r="L113" s="137"/>
      <c r="M113" s="37"/>
    </row>
    <row r="114" spans="1:13" ht="39.6" customHeight="1">
      <c r="A114" s="150"/>
      <c r="B114" s="137"/>
      <c r="C114" s="137"/>
      <c r="D114" s="137"/>
      <c r="E114" s="137"/>
      <c r="F114" s="137"/>
      <c r="G114" s="137"/>
      <c r="H114" s="137"/>
      <c r="I114" s="137"/>
      <c r="J114" s="137"/>
      <c r="K114" s="137"/>
      <c r="L114" s="137"/>
      <c r="M114" s="37"/>
    </row>
    <row r="115" spans="1:13" ht="39.6" customHeight="1">
      <c r="A115" s="151"/>
      <c r="B115" s="141"/>
      <c r="C115" s="142"/>
      <c r="D115" s="143"/>
      <c r="E115" s="141"/>
      <c r="F115" s="142"/>
      <c r="G115" s="142"/>
      <c r="H115" s="142"/>
      <c r="I115" s="142"/>
      <c r="J115" s="143"/>
      <c r="K115" s="137"/>
      <c r="L115" s="137"/>
      <c r="M115" s="37"/>
    </row>
  </sheetData>
  <mergeCells count="286">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 ref="B38:D38"/>
    <mergeCell ref="E38:J38"/>
    <mergeCell ref="K38:L38"/>
    <mergeCell ref="B39:D39"/>
    <mergeCell ref="E39:J39"/>
    <mergeCell ref="K39:L39"/>
    <mergeCell ref="B40:D40"/>
    <mergeCell ref="E40:J40"/>
    <mergeCell ref="K40:L40"/>
    <mergeCell ref="B41:D41"/>
    <mergeCell ref="E41:J41"/>
    <mergeCell ref="K41:L41"/>
    <mergeCell ref="B42:D42"/>
    <mergeCell ref="E42:J42"/>
    <mergeCell ref="K42:L42"/>
    <mergeCell ref="B43:D43"/>
    <mergeCell ref="E43:J43"/>
    <mergeCell ref="K43:L43"/>
    <mergeCell ref="B44:D44"/>
    <mergeCell ref="E44:J44"/>
    <mergeCell ref="K44:L44"/>
    <mergeCell ref="B45:D45"/>
    <mergeCell ref="E45:J45"/>
    <mergeCell ref="K45:L45"/>
    <mergeCell ref="B46:D46"/>
    <mergeCell ref="E46:J46"/>
    <mergeCell ref="K46:L46"/>
    <mergeCell ref="B47:D47"/>
    <mergeCell ref="E47:J47"/>
    <mergeCell ref="K47:L47"/>
    <mergeCell ref="B48:D48"/>
    <mergeCell ref="E48:J48"/>
    <mergeCell ref="K48:L48"/>
    <mergeCell ref="B49:D49"/>
    <mergeCell ref="E49:J49"/>
    <mergeCell ref="K49:L49"/>
    <mergeCell ref="B50:D50"/>
    <mergeCell ref="E50:J50"/>
    <mergeCell ref="K50:L50"/>
    <mergeCell ref="B51:D51"/>
    <mergeCell ref="E51:J51"/>
    <mergeCell ref="K51:L51"/>
    <mergeCell ref="B52:D52"/>
    <mergeCell ref="E52:J52"/>
    <mergeCell ref="K52:L52"/>
    <mergeCell ref="B53:D53"/>
    <mergeCell ref="E53:J53"/>
    <mergeCell ref="K53:L53"/>
    <mergeCell ref="B54:D54"/>
    <mergeCell ref="E54:J54"/>
    <mergeCell ref="K54:L54"/>
    <mergeCell ref="B55:D55"/>
    <mergeCell ref="E55:J55"/>
    <mergeCell ref="K55:L55"/>
    <mergeCell ref="B56:D56"/>
    <mergeCell ref="E56:J56"/>
    <mergeCell ref="K56:L56"/>
    <mergeCell ref="B57:D57"/>
    <mergeCell ref="E57:J57"/>
    <mergeCell ref="K57:L57"/>
    <mergeCell ref="B58:D58"/>
    <mergeCell ref="E58:J58"/>
    <mergeCell ref="K58:L58"/>
    <mergeCell ref="B59:D59"/>
    <mergeCell ref="E59:J59"/>
    <mergeCell ref="K59:L59"/>
    <mergeCell ref="B60:D60"/>
    <mergeCell ref="E60:J60"/>
    <mergeCell ref="K60:L60"/>
    <mergeCell ref="B61:D61"/>
    <mergeCell ref="E61:J61"/>
    <mergeCell ref="K61:L61"/>
    <mergeCell ref="B62:D62"/>
    <mergeCell ref="E62:J62"/>
    <mergeCell ref="K62:L62"/>
    <mergeCell ref="B63:D63"/>
    <mergeCell ref="E63:J63"/>
    <mergeCell ref="K63:L63"/>
    <mergeCell ref="B64:D64"/>
    <mergeCell ref="E64:J64"/>
    <mergeCell ref="K64:L64"/>
    <mergeCell ref="B65:D65"/>
    <mergeCell ref="E65:J65"/>
    <mergeCell ref="K65:L65"/>
    <mergeCell ref="B66:D66"/>
    <mergeCell ref="E66:J66"/>
    <mergeCell ref="K66:L66"/>
    <mergeCell ref="B67:D67"/>
    <mergeCell ref="E67:J67"/>
    <mergeCell ref="K67:L67"/>
    <mergeCell ref="B68:D68"/>
    <mergeCell ref="E68:J68"/>
    <mergeCell ref="K68:L68"/>
    <mergeCell ref="B69:D69"/>
    <mergeCell ref="E69:J69"/>
    <mergeCell ref="K69:L69"/>
    <mergeCell ref="B70:D70"/>
    <mergeCell ref="E70:J70"/>
    <mergeCell ref="K70:L70"/>
    <mergeCell ref="B71:D71"/>
    <mergeCell ref="E71:J71"/>
    <mergeCell ref="K71:L71"/>
    <mergeCell ref="B72:D72"/>
    <mergeCell ref="E72:J72"/>
    <mergeCell ref="K72:L72"/>
    <mergeCell ref="B73:D73"/>
    <mergeCell ref="E73:J73"/>
    <mergeCell ref="K73:L73"/>
    <mergeCell ref="B74:D74"/>
    <mergeCell ref="E74:J74"/>
    <mergeCell ref="K74:L74"/>
    <mergeCell ref="B75:D75"/>
    <mergeCell ref="E75:J75"/>
    <mergeCell ref="K75:L75"/>
    <mergeCell ref="B76:D76"/>
    <mergeCell ref="E76:J76"/>
    <mergeCell ref="K76:L76"/>
    <mergeCell ref="B77:D77"/>
    <mergeCell ref="E77:J77"/>
    <mergeCell ref="K77:L77"/>
    <mergeCell ref="B78:D78"/>
    <mergeCell ref="E78:J78"/>
    <mergeCell ref="K78:L78"/>
    <mergeCell ref="B79:D79"/>
    <mergeCell ref="E79:J79"/>
    <mergeCell ref="K79:L79"/>
    <mergeCell ref="B80:D80"/>
    <mergeCell ref="E80:J80"/>
    <mergeCell ref="K80:L80"/>
    <mergeCell ref="B81:D81"/>
    <mergeCell ref="E81:J81"/>
    <mergeCell ref="K81:L81"/>
    <mergeCell ref="B82:D82"/>
    <mergeCell ref="E82:J82"/>
    <mergeCell ref="K82:L82"/>
    <mergeCell ref="B83:D83"/>
    <mergeCell ref="E83:J83"/>
    <mergeCell ref="K83:L83"/>
    <mergeCell ref="B84:D84"/>
    <mergeCell ref="E84:J84"/>
    <mergeCell ref="K84:L84"/>
    <mergeCell ref="B85:D85"/>
    <mergeCell ref="E85:J85"/>
    <mergeCell ref="K85:L85"/>
    <mergeCell ref="B86:D86"/>
    <mergeCell ref="E86:J86"/>
    <mergeCell ref="K86:L86"/>
    <mergeCell ref="B87:D87"/>
    <mergeCell ref="E87:J87"/>
    <mergeCell ref="K87:L87"/>
    <mergeCell ref="B88:D88"/>
    <mergeCell ref="E88:J88"/>
    <mergeCell ref="K88:L88"/>
    <mergeCell ref="B89:D89"/>
    <mergeCell ref="E89:J89"/>
    <mergeCell ref="K89:L89"/>
    <mergeCell ref="B90:D90"/>
    <mergeCell ref="E90:J90"/>
    <mergeCell ref="K90:L90"/>
    <mergeCell ref="B91:D91"/>
    <mergeCell ref="E91:J91"/>
    <mergeCell ref="K91:L91"/>
    <mergeCell ref="B92:D92"/>
    <mergeCell ref="E92:J92"/>
    <mergeCell ref="K92:L92"/>
    <mergeCell ref="B93:D93"/>
    <mergeCell ref="E93:J93"/>
    <mergeCell ref="K93:L93"/>
    <mergeCell ref="B94:D94"/>
    <mergeCell ref="E94:J94"/>
    <mergeCell ref="K94:L94"/>
    <mergeCell ref="B95:D95"/>
    <mergeCell ref="E95:J95"/>
    <mergeCell ref="K95:L95"/>
    <mergeCell ref="B96:D96"/>
    <mergeCell ref="E96:J96"/>
    <mergeCell ref="K96:L96"/>
    <mergeCell ref="B97:D97"/>
    <mergeCell ref="E97:J97"/>
    <mergeCell ref="K97:L97"/>
    <mergeCell ref="B98:D98"/>
    <mergeCell ref="E98:J98"/>
    <mergeCell ref="K98:L98"/>
    <mergeCell ref="B99:D99"/>
    <mergeCell ref="E99:J99"/>
    <mergeCell ref="K99:L99"/>
    <mergeCell ref="B100:D100"/>
    <mergeCell ref="E100:J100"/>
    <mergeCell ref="K100:L100"/>
    <mergeCell ref="B101:D101"/>
    <mergeCell ref="E101:J101"/>
    <mergeCell ref="K101:L101"/>
    <mergeCell ref="B102:D102"/>
    <mergeCell ref="E102:J102"/>
    <mergeCell ref="K102:L102"/>
    <mergeCell ref="B103:D103"/>
    <mergeCell ref="E103:J103"/>
    <mergeCell ref="K103:L103"/>
    <mergeCell ref="B104:D104"/>
    <mergeCell ref="E104:J104"/>
    <mergeCell ref="K104:L104"/>
    <mergeCell ref="B105:D105"/>
    <mergeCell ref="E105:J105"/>
    <mergeCell ref="K105:L105"/>
    <mergeCell ref="E109:J109"/>
    <mergeCell ref="K109:L109"/>
    <mergeCell ref="B110:D110"/>
    <mergeCell ref="E110:J110"/>
    <mergeCell ref="K110:L110"/>
    <mergeCell ref="B111:D111"/>
    <mergeCell ref="E111:J111"/>
    <mergeCell ref="K111:L111"/>
    <mergeCell ref="B106:D106"/>
    <mergeCell ref="E106:J106"/>
    <mergeCell ref="K106:L106"/>
    <mergeCell ref="B107:D107"/>
    <mergeCell ref="E107:J107"/>
    <mergeCell ref="K107:L107"/>
    <mergeCell ref="B108:D108"/>
    <mergeCell ref="E108:J108"/>
    <mergeCell ref="K108:L108"/>
    <mergeCell ref="B115:D115"/>
    <mergeCell ref="E115:J115"/>
    <mergeCell ref="K115:L115"/>
    <mergeCell ref="A27:A34"/>
    <mergeCell ref="A35:A42"/>
    <mergeCell ref="A43:A50"/>
    <mergeCell ref="A51:A59"/>
    <mergeCell ref="A60:A68"/>
    <mergeCell ref="A69:A77"/>
    <mergeCell ref="A78:A81"/>
    <mergeCell ref="A82:A88"/>
    <mergeCell ref="A89:A97"/>
    <mergeCell ref="A98:A106"/>
    <mergeCell ref="A107:A115"/>
    <mergeCell ref="B112:D112"/>
    <mergeCell ref="E112:J112"/>
    <mergeCell ref="K112:L112"/>
    <mergeCell ref="B113:D113"/>
    <mergeCell ref="E113:J113"/>
    <mergeCell ref="K113:L113"/>
    <mergeCell ref="B114:D114"/>
    <mergeCell ref="E114:J114"/>
    <mergeCell ref="K114:L114"/>
    <mergeCell ref="B109:D109"/>
  </mergeCells>
  <printOptions horizontalCentered="1"/>
  <pageMargins left="0.70866141732283505" right="0.70866141732283505" top="0.74803149606299202" bottom="0.74803149606299202" header="0.31496062992126" footer="0.31496062992126"/>
  <pageSetup paperSize="9" scale="83"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P14"/>
  <sheetViews>
    <sheetView topLeftCell="C10" workbookViewId="0">
      <selection activeCell="K5" sqref="K5"/>
    </sheetView>
  </sheetViews>
  <sheetFormatPr defaultColWidth="8.85546875" defaultRowHeight="15.75"/>
  <cols>
    <col min="1" max="1" width="7.140625" style="1" customWidth="1"/>
    <col min="2" max="2" width="76.140625" style="1" customWidth="1"/>
    <col min="3" max="7" width="10.42578125" style="1" customWidth="1"/>
    <col min="8" max="9" width="8.85546875" style="1"/>
    <col min="10" max="11" width="10.42578125" style="1" customWidth="1"/>
    <col min="12" max="16384" width="8.85546875" style="1"/>
  </cols>
  <sheetData>
    <row r="1" spans="1:16">
      <c r="B1" s="25" t="s">
        <v>0</v>
      </c>
      <c r="C1" s="3"/>
      <c r="D1" s="3"/>
      <c r="E1" s="3"/>
      <c r="F1" s="3"/>
      <c r="G1" s="3"/>
      <c r="J1" s="3"/>
      <c r="L1" s="3" t="s">
        <v>1</v>
      </c>
    </row>
    <row r="2" spans="1:16">
      <c r="B2" s="25" t="s">
        <v>2</v>
      </c>
      <c r="C2" s="3"/>
      <c r="D2" s="3"/>
      <c r="E2" s="3"/>
      <c r="F2" s="3"/>
      <c r="G2" s="3"/>
      <c r="J2" s="3"/>
      <c r="L2" s="3" t="s">
        <v>3</v>
      </c>
    </row>
    <row r="3" spans="1:16">
      <c r="A3" s="3" t="s">
        <v>75</v>
      </c>
      <c r="B3" s="3" t="s">
        <v>44</v>
      </c>
      <c r="C3" s="3"/>
      <c r="D3" s="3"/>
      <c r="E3" s="3"/>
      <c r="F3" s="3"/>
      <c r="G3" s="3"/>
      <c r="J3" s="3"/>
      <c r="L3" s="3" t="s">
        <v>53</v>
      </c>
    </row>
    <row r="4" spans="1:16">
      <c r="A4" s="3"/>
      <c r="C4" s="3"/>
      <c r="D4" s="3"/>
      <c r="E4" s="3"/>
      <c r="F4" s="3"/>
      <c r="G4" s="3"/>
      <c r="J4" s="3"/>
      <c r="L4" s="3"/>
    </row>
    <row r="5" spans="1:16">
      <c r="C5" s="42"/>
      <c r="D5" s="42"/>
      <c r="E5" s="42"/>
      <c r="F5" s="42"/>
      <c r="G5" s="42"/>
      <c r="J5" s="42"/>
      <c r="K5" s="42"/>
    </row>
    <row r="6" spans="1:16" ht="30" customHeight="1">
      <c r="A6" s="106" t="s">
        <v>76</v>
      </c>
      <c r="B6" s="107"/>
      <c r="C6" s="107"/>
      <c r="D6" s="107"/>
      <c r="E6" s="107"/>
      <c r="F6" s="107"/>
      <c r="G6" s="107"/>
      <c r="H6" s="107"/>
      <c r="I6" s="107"/>
      <c r="J6" s="107"/>
      <c r="K6" s="107"/>
      <c r="L6" s="107"/>
      <c r="M6" s="47"/>
      <c r="N6" s="47"/>
      <c r="O6" s="47"/>
      <c r="P6" s="47"/>
    </row>
    <row r="7" spans="1:16" ht="24.95" customHeight="1">
      <c r="A7" s="135" t="s">
        <v>7</v>
      </c>
      <c r="B7" s="135" t="s">
        <v>8</v>
      </c>
      <c r="C7" s="139" t="s">
        <v>26</v>
      </c>
      <c r="D7" s="138"/>
      <c r="E7" s="138"/>
      <c r="F7" s="138"/>
      <c r="G7" s="138"/>
      <c r="H7" s="138"/>
      <c r="I7" s="138"/>
      <c r="J7" s="138"/>
      <c r="K7" s="138"/>
      <c r="L7" s="138"/>
    </row>
    <row r="8" spans="1:16" ht="24.95" customHeight="1">
      <c r="A8" s="135"/>
      <c r="B8" s="135"/>
      <c r="C8" s="43" t="s">
        <v>55</v>
      </c>
      <c r="D8" s="43" t="s">
        <v>56</v>
      </c>
      <c r="E8" s="43" t="s">
        <v>57</v>
      </c>
      <c r="F8" s="43" t="s">
        <v>58</v>
      </c>
      <c r="G8" s="43" t="s">
        <v>59</v>
      </c>
      <c r="H8" s="43" t="s">
        <v>60</v>
      </c>
      <c r="I8" s="43" t="s">
        <v>61</v>
      </c>
      <c r="J8" s="43" t="s">
        <v>77</v>
      </c>
      <c r="K8" s="43" t="s">
        <v>78</v>
      </c>
      <c r="L8" s="43" t="s">
        <v>61</v>
      </c>
    </row>
    <row r="9" spans="1:16" ht="20.100000000000001" customHeight="1">
      <c r="A9" s="26">
        <v>1</v>
      </c>
      <c r="B9" s="44" t="s">
        <v>79</v>
      </c>
      <c r="C9" s="26">
        <v>1</v>
      </c>
      <c r="D9" s="26">
        <v>1</v>
      </c>
      <c r="E9" s="26">
        <v>1</v>
      </c>
      <c r="F9" s="26">
        <v>1</v>
      </c>
      <c r="G9" s="26">
        <v>1</v>
      </c>
      <c r="H9" s="26">
        <v>1</v>
      </c>
      <c r="I9" s="26">
        <v>1</v>
      </c>
      <c r="J9" s="26">
        <v>1</v>
      </c>
      <c r="K9" s="26">
        <v>1</v>
      </c>
      <c r="L9" s="26">
        <v>1</v>
      </c>
    </row>
    <row r="10" spans="1:16" ht="24.75" customHeight="1">
      <c r="A10" s="27">
        <v>2</v>
      </c>
      <c r="B10" s="45" t="s">
        <v>80</v>
      </c>
      <c r="C10" s="27">
        <v>1</v>
      </c>
      <c r="D10" s="27">
        <v>1</v>
      </c>
      <c r="E10" s="27">
        <v>1</v>
      </c>
      <c r="F10" s="27">
        <v>1</v>
      </c>
      <c r="G10" s="27">
        <v>1</v>
      </c>
      <c r="H10" s="27">
        <v>1</v>
      </c>
      <c r="I10" s="27">
        <v>1</v>
      </c>
      <c r="J10" s="27">
        <v>1</v>
      </c>
      <c r="K10" s="27">
        <v>1</v>
      </c>
      <c r="L10" s="27">
        <v>1</v>
      </c>
    </row>
    <row r="11" spans="1:16" ht="25.5">
      <c r="A11" s="26">
        <v>3</v>
      </c>
      <c r="B11" s="44" t="s">
        <v>81</v>
      </c>
      <c r="C11" s="26">
        <v>1</v>
      </c>
      <c r="D11" s="26">
        <v>1</v>
      </c>
      <c r="E11" s="26">
        <v>1</v>
      </c>
      <c r="F11" s="26">
        <v>1</v>
      </c>
      <c r="G11" s="26">
        <v>1</v>
      </c>
      <c r="H11" s="26">
        <v>1</v>
      </c>
      <c r="I11" s="26">
        <v>1</v>
      </c>
      <c r="J11" s="26">
        <v>1</v>
      </c>
      <c r="K11" s="26">
        <v>1</v>
      </c>
      <c r="L11" s="26">
        <v>1</v>
      </c>
    </row>
    <row r="12" spans="1:16" ht="20.100000000000001" customHeight="1">
      <c r="A12" s="27">
        <v>4</v>
      </c>
      <c r="B12" s="45" t="s">
        <v>82</v>
      </c>
      <c r="C12" s="27">
        <v>1</v>
      </c>
      <c r="D12" s="27">
        <v>1</v>
      </c>
      <c r="E12" s="27">
        <v>1</v>
      </c>
      <c r="F12" s="27">
        <v>1</v>
      </c>
      <c r="G12" s="27">
        <v>1</v>
      </c>
      <c r="H12" s="27">
        <v>1</v>
      </c>
      <c r="I12" s="27">
        <v>1</v>
      </c>
      <c r="J12" s="27">
        <v>1</v>
      </c>
      <c r="K12" s="27">
        <v>1</v>
      </c>
      <c r="L12" s="27">
        <v>1</v>
      </c>
    </row>
    <row r="13" spans="1:16" ht="25.5">
      <c r="A13" s="26">
        <v>5</v>
      </c>
      <c r="B13" s="44" t="s">
        <v>83</v>
      </c>
      <c r="C13" s="26">
        <v>1</v>
      </c>
      <c r="D13" s="26">
        <v>1</v>
      </c>
      <c r="E13" s="26">
        <v>1</v>
      </c>
      <c r="F13" s="26">
        <v>1</v>
      </c>
      <c r="G13" s="26">
        <v>1</v>
      </c>
      <c r="H13" s="26">
        <v>1</v>
      </c>
      <c r="I13" s="26">
        <v>1</v>
      </c>
      <c r="J13" s="26">
        <v>1</v>
      </c>
      <c r="K13" s="26">
        <v>1</v>
      </c>
      <c r="L13" s="26">
        <v>1</v>
      </c>
    </row>
    <row r="14" spans="1:16" ht="20.100000000000001" customHeight="1">
      <c r="A14" s="108" t="s">
        <v>10</v>
      </c>
      <c r="B14" s="108"/>
      <c r="C14" s="46">
        <f>IFERROR(AVERAGE(C9:C13),"-")</f>
        <v>1</v>
      </c>
      <c r="D14" s="46">
        <f>IFERROR(AVERAGE(D9:D13),"-")</f>
        <v>1</v>
      </c>
      <c r="E14" s="46">
        <f>IFERROR(AVERAGE(E9:E13),"-")</f>
        <v>1</v>
      </c>
      <c r="F14" s="46">
        <f>IFERROR(AVERAGE(F9:F13),"-")</f>
        <v>1</v>
      </c>
      <c r="G14" s="46">
        <f>IFERROR(AVERAGE(G9:G13),"-")</f>
        <v>1</v>
      </c>
      <c r="H14" s="46">
        <f t="shared" ref="H14:K14" si="0">IFERROR(AVERAGE(H9:H13),"-")</f>
        <v>1</v>
      </c>
      <c r="I14" s="46">
        <f t="shared" si="0"/>
        <v>1</v>
      </c>
      <c r="J14" s="46">
        <f t="shared" si="0"/>
        <v>1</v>
      </c>
      <c r="K14" s="46">
        <f t="shared" si="0"/>
        <v>1</v>
      </c>
      <c r="L14" s="46">
        <f t="shared" ref="L14" si="1">IFERROR(AVERAGE(L9:L13),"-")</f>
        <v>1</v>
      </c>
    </row>
  </sheetData>
  <mergeCells count="5">
    <mergeCell ref="A6:L6"/>
    <mergeCell ref="C7:L7"/>
    <mergeCell ref="A14:B14"/>
    <mergeCell ref="A7:A8"/>
    <mergeCell ref="B7:B8"/>
  </mergeCells>
  <pageMargins left="0.7" right="0.7" top="0.75" bottom="0.75" header="0.3" footer="0.3"/>
  <pageSetup paperSize="9" scale="85"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13B3E4A8-AAC4-4387-BFDE-B68CE68D3EC7}">
            <xm:f>NOT(ISERROR(SEARCH(0,C9)))</xm:f>
            <xm:f>0</xm:f>
            <x14:dxf>
              <font>
                <color theme="0"/>
              </font>
              <fill>
                <patternFill patternType="solid">
                  <bgColor rgb="FFC00000"/>
                </patternFill>
              </fill>
            </x14:dxf>
          </x14:cfRule>
          <xm:sqref>C9:L13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pageSetUpPr fitToPage="1"/>
  </sheetPr>
  <dimension ref="A1:O36"/>
  <sheetViews>
    <sheetView zoomScale="95" zoomScaleNormal="95" workbookViewId="0">
      <selection activeCell="E36" sqref="E36"/>
    </sheetView>
  </sheetViews>
  <sheetFormatPr defaultColWidth="8.85546875" defaultRowHeight="15.75"/>
  <cols>
    <col min="1" max="1" width="7.140625" style="1" customWidth="1"/>
    <col min="2" max="2" width="74.140625" style="1" customWidth="1"/>
    <col min="3" max="7" width="10.42578125" style="1" customWidth="1"/>
    <col min="8" max="9" width="8.85546875" style="1"/>
    <col min="10" max="12" width="10.42578125" style="1" customWidth="1"/>
    <col min="13" max="16384" width="8.85546875" style="1"/>
  </cols>
  <sheetData>
    <row r="1" spans="1:15">
      <c r="A1" s="25" t="s">
        <v>0</v>
      </c>
      <c r="C1" s="3"/>
      <c r="D1" s="3"/>
      <c r="E1" s="3"/>
      <c r="F1" s="3"/>
      <c r="G1" s="3"/>
      <c r="J1" s="3"/>
      <c r="K1" s="3"/>
      <c r="L1" s="3" t="s">
        <v>1</v>
      </c>
    </row>
    <row r="2" spans="1:15">
      <c r="A2" s="25" t="s">
        <v>2</v>
      </c>
      <c r="C2" s="3"/>
      <c r="D2" s="3"/>
      <c r="E2" s="3"/>
      <c r="F2" s="3"/>
      <c r="G2" s="3"/>
      <c r="J2" s="3"/>
      <c r="K2" s="3"/>
      <c r="L2" s="3" t="s">
        <v>3</v>
      </c>
    </row>
    <row r="3" spans="1:15">
      <c r="A3" s="25" t="s">
        <v>24</v>
      </c>
      <c r="C3" s="3"/>
      <c r="D3" s="3"/>
      <c r="E3" s="3"/>
      <c r="F3" s="3"/>
      <c r="J3" s="3"/>
      <c r="L3" s="3"/>
      <c r="M3" s="3" t="s">
        <v>5</v>
      </c>
    </row>
    <row r="4" spans="1:15">
      <c r="A4" s="3"/>
      <c r="C4" s="3"/>
      <c r="D4" s="3"/>
      <c r="E4" s="3"/>
      <c r="F4" s="3"/>
      <c r="G4" s="3"/>
      <c r="J4" s="3"/>
      <c r="K4" s="3"/>
      <c r="L4" s="3"/>
    </row>
    <row r="5" spans="1:15">
      <c r="C5" s="42"/>
      <c r="D5" s="42"/>
      <c r="E5" s="42"/>
      <c r="F5" s="42"/>
      <c r="G5" s="42"/>
      <c r="J5" s="42"/>
      <c r="K5" s="42"/>
      <c r="L5" s="42"/>
    </row>
    <row r="6" spans="1:15" ht="30" customHeight="1">
      <c r="A6" s="106" t="s">
        <v>84</v>
      </c>
      <c r="B6" s="107"/>
      <c r="C6" s="107"/>
      <c r="D6" s="107"/>
      <c r="E6" s="107"/>
      <c r="F6" s="107"/>
      <c r="G6" s="107"/>
      <c r="H6" s="107"/>
      <c r="I6" s="107"/>
      <c r="J6" s="107"/>
      <c r="K6" s="107"/>
      <c r="L6" s="107"/>
      <c r="M6" s="47"/>
      <c r="N6" s="47"/>
      <c r="O6" s="47"/>
    </row>
    <row r="7" spans="1:15" ht="24.95" customHeight="1">
      <c r="A7" s="135" t="s">
        <v>7</v>
      </c>
      <c r="B7" s="135" t="s">
        <v>8</v>
      </c>
      <c r="C7" s="139" t="s">
        <v>26</v>
      </c>
      <c r="D7" s="138"/>
      <c r="E7" s="138"/>
      <c r="F7" s="138"/>
      <c r="G7" s="138"/>
      <c r="H7" s="138"/>
      <c r="I7" s="138"/>
      <c r="J7" s="138"/>
      <c r="K7" s="138"/>
      <c r="L7" s="138"/>
    </row>
    <row r="8" spans="1:15" ht="24.95" customHeight="1">
      <c r="A8" s="135"/>
      <c r="B8" s="135"/>
      <c r="C8" s="43" t="s">
        <v>177</v>
      </c>
      <c r="D8" s="43" t="s">
        <v>179</v>
      </c>
      <c r="E8" s="43" t="s">
        <v>178</v>
      </c>
      <c r="F8" s="43"/>
      <c r="G8" s="43"/>
      <c r="H8" s="43"/>
      <c r="I8" s="43"/>
      <c r="J8" s="43"/>
      <c r="K8" s="43"/>
      <c r="L8" s="43"/>
    </row>
    <row r="9" spans="1:15">
      <c r="A9" s="27">
        <v>1</v>
      </c>
      <c r="B9" s="45" t="s">
        <v>230</v>
      </c>
      <c r="C9" s="27">
        <v>1</v>
      </c>
      <c r="D9" s="27">
        <v>1</v>
      </c>
      <c r="E9" s="27">
        <v>0</v>
      </c>
      <c r="F9" s="27"/>
      <c r="G9" s="27"/>
      <c r="H9" s="27"/>
      <c r="I9" s="27"/>
      <c r="J9" s="27"/>
      <c r="K9" s="27"/>
      <c r="L9" s="27"/>
    </row>
    <row r="10" spans="1:15" ht="20.100000000000001" customHeight="1">
      <c r="A10" s="27">
        <v>2</v>
      </c>
      <c r="B10" s="45" t="s">
        <v>231</v>
      </c>
      <c r="C10" s="27">
        <v>0</v>
      </c>
      <c r="D10" s="27">
        <v>0</v>
      </c>
      <c r="E10" s="27">
        <v>0</v>
      </c>
      <c r="F10" s="27"/>
      <c r="G10" s="27"/>
      <c r="H10" s="27"/>
      <c r="I10" s="27"/>
      <c r="J10" s="27"/>
      <c r="K10" s="27"/>
      <c r="L10" s="27"/>
    </row>
    <row r="11" spans="1:15" ht="20.100000000000001" customHeight="1">
      <c r="A11" s="27">
        <v>3</v>
      </c>
      <c r="B11" s="45" t="s">
        <v>232</v>
      </c>
      <c r="C11" s="27">
        <v>1</v>
      </c>
      <c r="D11" s="27">
        <v>1</v>
      </c>
      <c r="E11" s="27">
        <v>1</v>
      </c>
      <c r="F11" s="27"/>
      <c r="G11" s="27"/>
      <c r="H11" s="27"/>
      <c r="I11" s="27"/>
      <c r="J11" s="27"/>
      <c r="K11" s="27"/>
      <c r="L11" s="27"/>
    </row>
    <row r="12" spans="1:15" ht="20.100000000000001" customHeight="1">
      <c r="A12" s="27">
        <v>4</v>
      </c>
      <c r="B12" s="45" t="s">
        <v>233</v>
      </c>
      <c r="C12" s="27">
        <v>1</v>
      </c>
      <c r="D12" s="27">
        <v>1</v>
      </c>
      <c r="E12" s="27">
        <v>1</v>
      </c>
      <c r="F12" s="27"/>
      <c r="G12" s="27"/>
      <c r="H12" s="27"/>
      <c r="I12" s="27"/>
      <c r="J12" s="27"/>
      <c r="K12" s="27"/>
      <c r="L12" s="27"/>
    </row>
    <row r="13" spans="1:15" ht="20.100000000000001" customHeight="1">
      <c r="A13" s="27">
        <v>5</v>
      </c>
      <c r="B13" s="45" t="s">
        <v>234</v>
      </c>
      <c r="C13" s="27">
        <v>1</v>
      </c>
      <c r="D13" s="27">
        <v>1</v>
      </c>
      <c r="E13" s="27">
        <v>1</v>
      </c>
      <c r="F13" s="27"/>
      <c r="G13" s="27"/>
      <c r="H13" s="27"/>
      <c r="I13" s="27"/>
      <c r="J13" s="27"/>
      <c r="K13" s="27"/>
      <c r="L13" s="27"/>
    </row>
    <row r="14" spans="1:15" ht="20.100000000000001" customHeight="1">
      <c r="A14" s="27">
        <v>6</v>
      </c>
      <c r="B14" s="45" t="s">
        <v>235</v>
      </c>
      <c r="C14" s="27">
        <v>1</v>
      </c>
      <c r="D14" s="27">
        <v>1</v>
      </c>
      <c r="E14" s="27">
        <v>1</v>
      </c>
      <c r="F14" s="27"/>
      <c r="G14" s="27"/>
      <c r="H14" s="27"/>
      <c r="I14" s="27"/>
      <c r="J14" s="27"/>
      <c r="K14" s="27"/>
      <c r="L14" s="27"/>
    </row>
    <row r="15" spans="1:15" ht="20.100000000000001" customHeight="1">
      <c r="A15" s="27">
        <v>7</v>
      </c>
      <c r="B15" s="45" t="s">
        <v>236</v>
      </c>
      <c r="C15" s="27">
        <v>1</v>
      </c>
      <c r="D15" s="27">
        <v>1</v>
      </c>
      <c r="E15" s="27">
        <v>1</v>
      </c>
      <c r="F15" s="27"/>
      <c r="G15" s="27"/>
      <c r="H15" s="27"/>
      <c r="I15" s="27"/>
      <c r="J15" s="27"/>
      <c r="K15" s="27"/>
      <c r="L15" s="27"/>
    </row>
    <row r="16" spans="1:15" ht="20.100000000000001" customHeight="1">
      <c r="A16" s="27">
        <v>8</v>
      </c>
      <c r="B16" s="45" t="s">
        <v>237</v>
      </c>
      <c r="C16" s="27">
        <v>1</v>
      </c>
      <c r="D16" s="27">
        <v>0</v>
      </c>
      <c r="E16" s="27">
        <v>0</v>
      </c>
      <c r="F16" s="27"/>
      <c r="G16" s="27"/>
      <c r="H16" s="27"/>
      <c r="I16" s="27"/>
      <c r="J16" s="27"/>
      <c r="K16" s="27"/>
      <c r="L16" s="27"/>
    </row>
    <row r="17" spans="1:12" ht="20.100000000000001" customHeight="1">
      <c r="A17" s="27">
        <v>9</v>
      </c>
      <c r="B17" s="45" t="s">
        <v>238</v>
      </c>
      <c r="C17" s="27">
        <v>1</v>
      </c>
      <c r="D17" s="27">
        <v>1</v>
      </c>
      <c r="E17" s="27">
        <v>1</v>
      </c>
      <c r="F17" s="27"/>
      <c r="G17" s="27"/>
      <c r="H17" s="27"/>
      <c r="I17" s="27"/>
      <c r="J17" s="27"/>
      <c r="K17" s="27"/>
      <c r="L17" s="27"/>
    </row>
    <row r="18" spans="1:12" ht="20.100000000000001" customHeight="1">
      <c r="A18" s="27">
        <v>10</v>
      </c>
      <c r="B18" s="45" t="s">
        <v>256</v>
      </c>
      <c r="C18" s="27">
        <v>1</v>
      </c>
      <c r="D18" s="27">
        <v>1</v>
      </c>
      <c r="E18" s="27">
        <v>1</v>
      </c>
      <c r="F18" s="27"/>
      <c r="G18" s="27"/>
      <c r="H18" s="27"/>
      <c r="I18" s="27"/>
      <c r="J18" s="27"/>
      <c r="K18" s="27"/>
      <c r="L18" s="27"/>
    </row>
    <row r="19" spans="1:12" ht="20.100000000000001" customHeight="1">
      <c r="A19" s="27">
        <v>11</v>
      </c>
      <c r="B19" s="45" t="s">
        <v>255</v>
      </c>
      <c r="C19" s="27">
        <v>1</v>
      </c>
      <c r="D19" s="27">
        <v>1</v>
      </c>
      <c r="E19" s="27">
        <v>1</v>
      </c>
      <c r="F19" s="27"/>
      <c r="G19" s="27"/>
      <c r="H19" s="27"/>
      <c r="I19" s="27"/>
      <c r="J19" s="27"/>
      <c r="K19" s="27"/>
      <c r="L19" s="27"/>
    </row>
    <row r="20" spans="1:12" ht="20.100000000000001" customHeight="1">
      <c r="A20" s="27">
        <v>12</v>
      </c>
      <c r="B20" s="45" t="s">
        <v>239</v>
      </c>
      <c r="C20" s="27">
        <v>1</v>
      </c>
      <c r="D20" s="27">
        <v>1</v>
      </c>
      <c r="E20" s="27">
        <v>1</v>
      </c>
      <c r="F20" s="27" t="s">
        <v>75</v>
      </c>
      <c r="G20" s="27"/>
      <c r="H20" s="27"/>
      <c r="I20" s="27"/>
      <c r="J20" s="27"/>
      <c r="K20" s="27"/>
      <c r="L20" s="27"/>
    </row>
    <row r="21" spans="1:12" ht="20.100000000000001" customHeight="1">
      <c r="A21" s="27">
        <v>13</v>
      </c>
      <c r="B21" s="45" t="s">
        <v>240</v>
      </c>
      <c r="C21" s="27">
        <v>1</v>
      </c>
      <c r="D21" s="27">
        <v>1</v>
      </c>
      <c r="E21" s="27">
        <v>1</v>
      </c>
      <c r="F21" s="27"/>
      <c r="G21" s="27"/>
      <c r="H21" s="27"/>
      <c r="I21" s="27"/>
      <c r="J21" s="27"/>
      <c r="K21" s="27"/>
      <c r="L21" s="27"/>
    </row>
    <row r="22" spans="1:12" ht="20.100000000000001" customHeight="1">
      <c r="A22" s="27">
        <v>14</v>
      </c>
      <c r="B22" s="45" t="s">
        <v>241</v>
      </c>
      <c r="C22" s="27">
        <v>1</v>
      </c>
      <c r="D22" s="27">
        <v>1</v>
      </c>
      <c r="E22" s="27">
        <v>1</v>
      </c>
      <c r="F22" s="27"/>
      <c r="G22" s="27"/>
      <c r="H22" s="27"/>
      <c r="I22" s="27"/>
      <c r="J22" s="27"/>
      <c r="K22" s="27"/>
      <c r="L22" s="27"/>
    </row>
    <row r="23" spans="1:12" ht="20.100000000000001" customHeight="1">
      <c r="A23" s="27">
        <v>15</v>
      </c>
      <c r="B23" s="45" t="s">
        <v>242</v>
      </c>
      <c r="C23" s="27">
        <v>1</v>
      </c>
      <c r="D23" s="27">
        <v>1</v>
      </c>
      <c r="E23" s="27">
        <v>1</v>
      </c>
      <c r="F23" s="27"/>
      <c r="G23" s="27"/>
      <c r="H23" s="27"/>
      <c r="I23" s="27"/>
      <c r="J23" s="27"/>
      <c r="K23" s="27"/>
      <c r="L23" s="27"/>
    </row>
    <row r="24" spans="1:12" ht="20.100000000000001" customHeight="1">
      <c r="A24" s="27">
        <v>16</v>
      </c>
      <c r="B24" s="45" t="s">
        <v>243</v>
      </c>
      <c r="C24" s="27">
        <v>1</v>
      </c>
      <c r="D24" s="27">
        <v>1</v>
      </c>
      <c r="E24" s="27">
        <v>1</v>
      </c>
      <c r="F24" s="27"/>
      <c r="G24" s="27"/>
      <c r="H24" s="27"/>
      <c r="I24" s="27"/>
      <c r="J24" s="27"/>
      <c r="K24" s="27"/>
      <c r="L24" s="27"/>
    </row>
    <row r="25" spans="1:12" ht="20.100000000000001" customHeight="1">
      <c r="A25" s="27">
        <v>17</v>
      </c>
      <c r="B25" s="45" t="s">
        <v>244</v>
      </c>
      <c r="C25" s="27">
        <v>1</v>
      </c>
      <c r="D25" s="27">
        <v>1</v>
      </c>
      <c r="E25" s="27">
        <v>1</v>
      </c>
      <c r="F25" s="27"/>
      <c r="G25" s="27"/>
      <c r="H25" s="27"/>
      <c r="I25" s="27"/>
      <c r="J25" s="27"/>
      <c r="K25" s="27"/>
      <c r="L25" s="27"/>
    </row>
    <row r="26" spans="1:12" ht="20.100000000000001" customHeight="1">
      <c r="A26" s="27">
        <v>18</v>
      </c>
      <c r="B26" s="45" t="s">
        <v>245</v>
      </c>
      <c r="C26" s="27">
        <v>1</v>
      </c>
      <c r="D26" s="27">
        <v>1</v>
      </c>
      <c r="E26" s="27">
        <v>1</v>
      </c>
      <c r="F26" s="27"/>
      <c r="G26" s="27"/>
      <c r="H26" s="27"/>
      <c r="I26" s="27"/>
      <c r="J26" s="27"/>
      <c r="K26" s="27"/>
      <c r="L26" s="27"/>
    </row>
    <row r="27" spans="1:12" ht="20.100000000000001" customHeight="1">
      <c r="A27" s="27">
        <v>19</v>
      </c>
      <c r="B27" s="45" t="s">
        <v>246</v>
      </c>
      <c r="C27" s="27">
        <v>1</v>
      </c>
      <c r="D27" s="27">
        <v>1</v>
      </c>
      <c r="E27" s="27">
        <v>1</v>
      </c>
      <c r="F27" s="27"/>
      <c r="G27" s="27"/>
      <c r="H27" s="27"/>
      <c r="I27" s="27"/>
      <c r="J27" s="27"/>
      <c r="K27" s="27"/>
      <c r="L27" s="27"/>
    </row>
    <row r="28" spans="1:12" ht="20.100000000000001" customHeight="1">
      <c r="A28" s="27">
        <v>20</v>
      </c>
      <c r="B28" s="45" t="s">
        <v>247</v>
      </c>
      <c r="C28" s="27">
        <v>1</v>
      </c>
      <c r="D28" s="27">
        <v>1</v>
      </c>
      <c r="E28" s="27">
        <v>1</v>
      </c>
      <c r="F28" s="27"/>
      <c r="G28" s="27"/>
      <c r="H28" s="27"/>
      <c r="I28" s="27"/>
      <c r="J28" s="27"/>
      <c r="K28" s="27"/>
      <c r="L28" s="27"/>
    </row>
    <row r="29" spans="1:12" ht="20.100000000000001" customHeight="1">
      <c r="A29" s="27">
        <v>21</v>
      </c>
      <c r="B29" s="45" t="s">
        <v>248</v>
      </c>
      <c r="C29" s="27">
        <v>1</v>
      </c>
      <c r="D29" s="27">
        <v>1</v>
      </c>
      <c r="E29" s="27">
        <v>1</v>
      </c>
      <c r="F29" s="27"/>
      <c r="G29" s="27"/>
      <c r="H29" s="27"/>
      <c r="I29" s="27"/>
      <c r="J29" s="27"/>
      <c r="K29" s="27"/>
      <c r="L29" s="27"/>
    </row>
    <row r="30" spans="1:12" ht="20.100000000000001" customHeight="1">
      <c r="A30" s="27">
        <v>22</v>
      </c>
      <c r="B30" s="45" t="s">
        <v>249</v>
      </c>
      <c r="C30" s="27">
        <v>1</v>
      </c>
      <c r="D30" s="27">
        <v>1</v>
      </c>
      <c r="E30" s="27">
        <v>1</v>
      </c>
      <c r="F30" s="27"/>
      <c r="G30" s="27"/>
      <c r="H30" s="27"/>
      <c r="I30" s="27"/>
      <c r="J30" s="27"/>
      <c r="K30" s="27"/>
      <c r="L30" s="27"/>
    </row>
    <row r="31" spans="1:12" ht="20.100000000000001" customHeight="1">
      <c r="A31" s="27">
        <v>23</v>
      </c>
      <c r="B31" s="45" t="s">
        <v>250</v>
      </c>
      <c r="C31" s="27">
        <v>1</v>
      </c>
      <c r="D31" s="27">
        <v>0</v>
      </c>
      <c r="E31" s="27">
        <v>0</v>
      </c>
      <c r="F31" s="27"/>
      <c r="G31" s="27"/>
      <c r="H31" s="27"/>
      <c r="I31" s="27"/>
      <c r="J31" s="27"/>
      <c r="K31" s="27"/>
      <c r="L31" s="27"/>
    </row>
    <row r="32" spans="1:12" ht="18" customHeight="1">
      <c r="A32" s="27">
        <v>24</v>
      </c>
      <c r="B32" s="45" t="s">
        <v>251</v>
      </c>
      <c r="C32" s="27">
        <v>1</v>
      </c>
      <c r="D32" s="27">
        <v>1</v>
      </c>
      <c r="E32" s="27">
        <v>1</v>
      </c>
      <c r="F32" s="27"/>
      <c r="G32" s="27"/>
      <c r="H32" s="27"/>
      <c r="I32" s="27"/>
      <c r="J32" s="27"/>
      <c r="K32" s="27"/>
      <c r="L32" s="27"/>
    </row>
    <row r="33" spans="1:12" ht="20.100000000000001" customHeight="1">
      <c r="A33" s="27">
        <v>25</v>
      </c>
      <c r="B33" s="45" t="s">
        <v>252</v>
      </c>
      <c r="C33" s="27">
        <v>1</v>
      </c>
      <c r="D33" s="27">
        <v>1</v>
      </c>
      <c r="E33" s="27">
        <v>1</v>
      </c>
      <c r="F33" s="27"/>
      <c r="G33" s="27"/>
      <c r="H33" s="27"/>
      <c r="I33" s="27"/>
      <c r="J33" s="27"/>
      <c r="K33" s="27"/>
      <c r="L33" s="27"/>
    </row>
    <row r="34" spans="1:12" ht="20.100000000000001" customHeight="1">
      <c r="A34" s="27">
        <v>26</v>
      </c>
      <c r="B34" s="45" t="s">
        <v>253</v>
      </c>
      <c r="C34" s="27">
        <v>0</v>
      </c>
      <c r="D34" s="27">
        <v>1</v>
      </c>
      <c r="E34" s="27">
        <v>1</v>
      </c>
      <c r="F34" s="27"/>
      <c r="G34" s="27"/>
      <c r="H34" s="27"/>
      <c r="I34" s="27"/>
      <c r="J34" s="27"/>
      <c r="K34" s="27"/>
      <c r="L34" s="27"/>
    </row>
    <row r="35" spans="1:12" ht="20.100000000000001" customHeight="1">
      <c r="A35" s="27">
        <v>27</v>
      </c>
      <c r="B35" s="45" t="s">
        <v>254</v>
      </c>
      <c r="C35" s="27">
        <v>1</v>
      </c>
      <c r="D35" s="27">
        <v>1</v>
      </c>
      <c r="E35" s="27">
        <v>1</v>
      </c>
      <c r="F35" s="27"/>
      <c r="G35" s="27"/>
      <c r="H35" s="27"/>
      <c r="I35" s="27"/>
      <c r="J35" s="27"/>
      <c r="K35" s="27"/>
      <c r="L35" s="27"/>
    </row>
    <row r="36" spans="1:12" ht="20.100000000000001" customHeight="1">
      <c r="A36" s="108" t="s">
        <v>10</v>
      </c>
      <c r="B36" s="108"/>
      <c r="C36" s="46">
        <f>AVERAGE(C9:C35)</f>
        <v>0.92592592592592593</v>
      </c>
      <c r="D36" s="46">
        <f t="shared" ref="D36:L36" si="0">IFERROR(AVERAGE(D9:D35),"-")</f>
        <v>0.88888888888888884</v>
      </c>
      <c r="E36" s="46">
        <f t="shared" si="0"/>
        <v>0.85185185185185186</v>
      </c>
      <c r="F36" s="46" t="str">
        <f t="shared" si="0"/>
        <v>-</v>
      </c>
      <c r="G36" s="46" t="str">
        <f t="shared" si="0"/>
        <v>-</v>
      </c>
      <c r="H36" s="46" t="str">
        <f t="shared" si="0"/>
        <v>-</v>
      </c>
      <c r="I36" s="46" t="str">
        <f t="shared" si="0"/>
        <v>-</v>
      </c>
      <c r="J36" s="46" t="str">
        <f t="shared" si="0"/>
        <v>-</v>
      </c>
      <c r="K36" s="46" t="str">
        <f t="shared" si="0"/>
        <v>-</v>
      </c>
      <c r="L36" s="46" t="str">
        <f t="shared" si="0"/>
        <v>-</v>
      </c>
    </row>
  </sheetData>
  <mergeCells count="5">
    <mergeCell ref="A6:L6"/>
    <mergeCell ref="C7:L7"/>
    <mergeCell ref="A36:B36"/>
    <mergeCell ref="A7:A8"/>
    <mergeCell ref="B7:B8"/>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A21D6E1E-4A81-4DB2-9448-E6F8E4B94FE6}">
            <xm:f>NOT(ISERROR(SEARCH(0,C9)))</xm:f>
            <xm:f>0</xm:f>
            <x14:dxf>
              <font>
                <color theme="0"/>
              </font>
              <fill>
                <patternFill patternType="solid">
                  <bgColor rgb="FFC00000"/>
                </patternFill>
              </fill>
            </x14:dxf>
          </x14:cfRule>
          <xm:sqref>C9:L35</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fitToPage="1"/>
  </sheetPr>
  <dimension ref="A1:M36"/>
  <sheetViews>
    <sheetView zoomScale="80" zoomScaleNormal="80" workbookViewId="0">
      <selection activeCell="B18" sqref="B18"/>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84</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49" t="inlineStr">
        <is>
          <t>3/2026</t>
        </is>
      </c>
      <c r="B13" s="31">
        <f>SUMPRODUCT(--('عقد الصيانة'!$C$9:$C$35&amp;""="1"))</f>
        <v>25</v>
      </c>
      <c r="C13" s="31">
        <f>SUMPRODUCT(--('عقد الصيانة'!$C$9:$C$35&amp;""="1"))+SUMPRODUCT(--('عقد الصيانة'!$C$9:$C$35&amp;""="0"))</f>
        <v>27</v>
      </c>
      <c r="D13" s="28">
        <f>IFERROR(B13/C13,"")</f>
        <v>0.9259259259259259</v>
      </c>
    </row>
    <row r="14" spans="1:13">
      <c r="A14" s="49" t="inlineStr">
        <is>
          <t>6/2026</t>
        </is>
      </c>
      <c r="B14" s="31">
        <f>SUMPRODUCT(--('عقد الصيانة'!$D$9:$D$35&amp;""="1"))</f>
        <v>24</v>
      </c>
      <c r="C14" s="31">
        <f>SUMPRODUCT(--('عقد الصيانة'!$D$9:$D$35&amp;""="1"))+SUMPRODUCT(--('عقد الصيانة'!$D$9:$D$35&amp;""="0"))</f>
        <v>27</v>
      </c>
      <c r="D14" s="28">
        <f>IFERROR(B14/C14,"")</f>
        <v>0.8888888888888888</v>
      </c>
    </row>
    <row r="15" spans="1:13">
      <c r="A15" s="49" t="inlineStr">
        <is>
          <t>9/2026</t>
        </is>
      </c>
      <c r="B15" s="31">
        <f>SUMPRODUCT(--('عقد الصيانة'!$E$9:$E$35&amp;""="1"))</f>
        <v>23</v>
      </c>
      <c r="C15" s="31">
        <f>SUMPRODUCT(--('عقد الصيانة'!$E$9:$E$35&amp;""="1"))+SUMPRODUCT(--('عقد الصيانة'!$E$9:$E$35&amp;""="0"))</f>
        <v>27</v>
      </c>
      <c r="D15" s="28">
        <f>IFERROR(B15/C15,"")</f>
        <v>0.8518518518518519</v>
      </c>
    </row>
    <row r="16" spans="1:13">
      <c r="A16" s="30"/>
      <c r="B16" s="31"/>
      <c r="C16" s="31"/>
      <c r="D16" s="28" t="str">
        <f>IFERROR(B16/C16,"")</f>
        <v/>
      </c>
    </row>
    <row r="17" spans="1:13">
      <c r="A17" s="30"/>
      <c r="B17" s="31"/>
      <c r="C17" s="31"/>
      <c r="D17" s="28" t="str">
        <f>IFERROR(B17/C17,"")</f>
        <v/>
      </c>
    </row>
    <row r="18" spans="1:13">
      <c r="A18" s="30"/>
      <c r="B18" s="31"/>
      <c r="C18" s="31"/>
      <c r="D18" s="28" t="str">
        <f>IFERROR(B18/C18,"")</f>
        <v/>
      </c>
    </row>
    <row r="19" spans="1:13">
      <c r="A19" s="30"/>
      <c r="B19" s="31"/>
      <c r="C19" s="31"/>
      <c r="D19" s="28" t="str">
        <f>IFERROR(B19/C19,"")</f>
        <v/>
      </c>
    </row>
    <row r="20" spans="1:13">
      <c r="A20" s="49"/>
      <c r="B20" s="31"/>
      <c r="C20" s="31"/>
      <c r="D20" s="28" t="str">
        <f>IFERROR(B20/C20,"")</f>
        <v/>
      </c>
    </row>
    <row r="21" spans="1:13">
      <c r="A21" s="49"/>
      <c r="B21" s="31"/>
      <c r="C21" s="31"/>
      <c r="D21" s="28" t="str">
        <f>IFERROR(B21/C21,"")</f>
        <v/>
      </c>
    </row>
    <row r="22" spans="1:13">
      <c r="A22" s="49"/>
      <c r="B22" s="31"/>
      <c r="C22" s="31"/>
      <c r="D22" s="28" t="str">
        <f>IFERROR(B22/C22,"")</f>
        <v/>
      </c>
    </row>
    <row r="23" spans="1:13">
      <c r="A23" s="140" t="s">
        <v>19</v>
      </c>
      <c r="B23" s="140"/>
      <c r="C23" s="140"/>
      <c r="D23" s="35">
        <f>AVERAGE(D13:D22)</f>
        <v>0.8888888888888888</v>
      </c>
    </row>
    <row r="24" spans="1:13">
      <c r="E24" s="1" t="s">
        <v>75</v>
      </c>
    </row>
    <row r="25" spans="1:13" ht="23.45" customHeight="1">
      <c r="A25" s="36" t="s">
        <v>17</v>
      </c>
      <c r="B25" s="130" t="s">
        <v>20</v>
      </c>
      <c r="C25" s="131"/>
      <c r="D25" s="132"/>
      <c r="E25" s="129" t="s">
        <v>21</v>
      </c>
      <c r="F25" s="129"/>
      <c r="G25" s="129"/>
      <c r="H25" s="129"/>
      <c r="I25" s="129"/>
      <c r="J25" s="129"/>
      <c r="K25" s="129" t="s">
        <v>22</v>
      </c>
      <c r="L25" s="129"/>
      <c r="M25" s="36" t="s">
        <v>23</v>
      </c>
    </row>
    <row r="26" spans="1:13" ht="21.6" customHeight="1">
      <c r="A26" s="30" t="s">
        <v>86</v>
      </c>
      <c r="B26" s="137" t="s">
        <v>87</v>
      </c>
      <c r="C26" s="137"/>
      <c r="D26" s="137"/>
      <c r="E26" s="137" t="s">
        <v>88</v>
      </c>
      <c r="F26" s="137"/>
      <c r="G26" s="137"/>
      <c r="H26" s="137"/>
      <c r="I26" s="137"/>
      <c r="J26" s="137"/>
      <c r="K26" s="137" t="s">
        <v>89</v>
      </c>
      <c r="L26" s="137"/>
      <c r="M26" s="37" t="s">
        <v>90</v>
      </c>
    </row>
    <row r="27" spans="1:13" ht="21.6" customHeight="1">
      <c r="A27" s="76" t="s">
        <v>91</v>
      </c>
      <c r="B27" s="136" t="s">
        <v>92</v>
      </c>
      <c r="C27" s="136"/>
      <c r="D27" s="136"/>
      <c r="E27" s="136" t="s">
        <v>93</v>
      </c>
      <c r="F27" s="136"/>
      <c r="G27" s="136"/>
      <c r="H27" s="136"/>
      <c r="I27" s="136"/>
      <c r="J27" s="136"/>
      <c r="K27" s="136" t="s">
        <v>89</v>
      </c>
      <c r="L27" s="136"/>
      <c r="M27" s="39" t="s">
        <v>94</v>
      </c>
    </row>
    <row r="28" spans="1:13" ht="21.6" customHeight="1">
      <c r="A28" s="30"/>
      <c r="B28" s="137"/>
      <c r="C28" s="137"/>
      <c r="D28" s="137"/>
      <c r="E28" s="137"/>
      <c r="F28" s="137"/>
      <c r="G28" s="137"/>
      <c r="H28" s="137"/>
      <c r="I28" s="137"/>
      <c r="J28" s="137"/>
      <c r="K28" s="137"/>
      <c r="L28" s="137"/>
      <c r="M28" s="37"/>
    </row>
    <row r="29" spans="1:13" ht="21.6" customHeight="1">
      <c r="A29" s="76"/>
      <c r="B29" s="136"/>
      <c r="C29" s="136"/>
      <c r="D29" s="136"/>
      <c r="E29" s="136"/>
      <c r="F29" s="136"/>
      <c r="G29" s="136"/>
      <c r="H29" s="136"/>
      <c r="I29" s="136"/>
      <c r="J29" s="136"/>
      <c r="K29" s="136"/>
      <c r="L29" s="136"/>
      <c r="M29" s="39"/>
    </row>
    <row r="30" spans="1:13" ht="21.6" customHeight="1">
      <c r="A30" s="30"/>
      <c r="B30" s="137"/>
      <c r="C30" s="137"/>
      <c r="D30" s="137"/>
      <c r="E30" s="137"/>
      <c r="F30" s="137"/>
      <c r="G30" s="137"/>
      <c r="H30" s="137"/>
      <c r="I30" s="137"/>
      <c r="J30" s="137"/>
      <c r="K30" s="137"/>
      <c r="L30" s="137"/>
      <c r="M30" s="37"/>
    </row>
    <row r="31" spans="1:13" ht="21.6" customHeight="1">
      <c r="A31" s="76"/>
      <c r="B31" s="136"/>
      <c r="C31" s="136"/>
      <c r="D31" s="136"/>
      <c r="E31" s="136"/>
      <c r="F31" s="136"/>
      <c r="G31" s="136"/>
      <c r="H31" s="136"/>
      <c r="I31" s="136"/>
      <c r="J31" s="136"/>
      <c r="K31" s="136"/>
      <c r="L31" s="136"/>
      <c r="M31" s="39"/>
    </row>
    <row r="32" spans="1:13" ht="21.6" customHeight="1">
      <c r="A32" s="30"/>
      <c r="B32" s="137"/>
      <c r="C32" s="137"/>
      <c r="D32" s="137"/>
      <c r="E32" s="137"/>
      <c r="F32" s="137"/>
      <c r="G32" s="137"/>
      <c r="H32" s="137"/>
      <c r="I32" s="137"/>
      <c r="J32" s="137"/>
      <c r="K32" s="137"/>
      <c r="L32" s="137"/>
      <c r="M32" s="37"/>
    </row>
    <row r="33" spans="1:13" ht="21.6" customHeight="1">
      <c r="A33" s="77"/>
      <c r="B33" s="136"/>
      <c r="C33" s="136"/>
      <c r="D33" s="136"/>
      <c r="E33" s="136"/>
      <c r="F33" s="136"/>
      <c r="G33" s="136"/>
      <c r="H33" s="136"/>
      <c r="I33" s="136"/>
      <c r="J33" s="136"/>
      <c r="K33" s="136"/>
      <c r="L33" s="136"/>
      <c r="M33" s="39"/>
    </row>
    <row r="34" spans="1:13" ht="21.6" customHeight="1">
      <c r="A34" s="49"/>
      <c r="B34" s="137"/>
      <c r="C34" s="137"/>
      <c r="D34" s="137"/>
      <c r="E34" s="137"/>
      <c r="F34" s="137"/>
      <c r="G34" s="137"/>
      <c r="H34" s="137"/>
      <c r="I34" s="137"/>
      <c r="J34" s="137"/>
      <c r="K34" s="137"/>
      <c r="L34" s="137"/>
      <c r="M34" s="37"/>
    </row>
    <row r="35" spans="1:13" ht="21.6" customHeight="1">
      <c r="A35" s="77"/>
      <c r="B35" s="136"/>
      <c r="C35" s="136"/>
      <c r="D35" s="136"/>
      <c r="E35" s="136"/>
      <c r="F35" s="136"/>
      <c r="G35" s="136"/>
      <c r="H35" s="136"/>
      <c r="I35" s="136"/>
      <c r="J35" s="136"/>
      <c r="K35" s="136"/>
      <c r="L35" s="136"/>
      <c r="M35" s="39"/>
    </row>
    <row r="36" spans="1:13" ht="21.6" customHeight="1">
      <c r="A36" s="49"/>
      <c r="B36" s="137"/>
      <c r="C36" s="137"/>
      <c r="D36" s="137"/>
      <c r="E36" s="137"/>
      <c r="F36" s="137"/>
      <c r="G36" s="137"/>
      <c r="H36" s="137"/>
      <c r="I36" s="137"/>
      <c r="J36" s="137"/>
      <c r="K36" s="137"/>
      <c r="L36" s="137"/>
      <c r="M36" s="37"/>
    </row>
  </sheetData>
  <mergeCells count="41">
    <mergeCell ref="A6:M6"/>
    <mergeCell ref="B8:D8"/>
    <mergeCell ref="B9:D9"/>
    <mergeCell ref="B10:D10"/>
    <mergeCell ref="A23:C23"/>
    <mergeCell ref="B25:D25"/>
    <mergeCell ref="E25:J25"/>
    <mergeCell ref="K25:L25"/>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s>
  <printOptions horizontalCentered="1"/>
  <pageMargins left="0.70866141732283505" right="0.70866141732283505" top="0.74803149606299202" bottom="0.74803149606299202" header="0.31496062992126" footer="0.31496062992126"/>
  <pageSetup paperSize="9" scale="75"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Q14"/>
  <sheetViews>
    <sheetView topLeftCell="B1" zoomScale="85" zoomScaleNormal="85" workbookViewId="0">
      <selection activeCell="E13" sqref="E13"/>
    </sheetView>
  </sheetViews>
  <sheetFormatPr defaultColWidth="8.85546875" defaultRowHeight="15.75"/>
  <cols>
    <col min="1" max="1" width="7.140625" style="1" customWidth="1"/>
    <col min="2" max="2" width="74.140625" style="1" customWidth="1"/>
    <col min="3" max="7" width="10.42578125" style="1" customWidth="1"/>
    <col min="8" max="9" width="8.85546875" style="1"/>
    <col min="10" max="13" width="10.42578125" style="1" customWidth="1"/>
    <col min="14" max="16384" width="8.85546875" style="1"/>
  </cols>
  <sheetData>
    <row r="1" spans="1:17">
      <c r="A1" s="25" t="s">
        <v>0</v>
      </c>
      <c r="C1" s="3"/>
      <c r="D1" s="3"/>
      <c r="E1" s="3"/>
      <c r="F1" s="3"/>
      <c r="G1" s="3"/>
      <c r="J1" s="3"/>
      <c r="K1" s="3"/>
      <c r="L1" s="3"/>
      <c r="M1" s="3" t="s">
        <v>1</v>
      </c>
    </row>
    <row r="2" spans="1:17">
      <c r="A2" s="25" t="s">
        <v>2</v>
      </c>
      <c r="C2" s="3"/>
      <c r="D2" s="3"/>
      <c r="E2" s="3"/>
      <c r="F2" s="3"/>
      <c r="G2" s="3"/>
      <c r="J2" s="3"/>
      <c r="K2" s="3"/>
      <c r="L2" s="3"/>
      <c r="M2" s="3" t="s">
        <v>3</v>
      </c>
    </row>
    <row r="3" spans="1:17">
      <c r="A3" s="25" t="s">
        <v>24</v>
      </c>
      <c r="C3" s="3"/>
      <c r="D3" s="3"/>
      <c r="E3" s="3"/>
      <c r="F3" s="3"/>
      <c r="J3" s="3"/>
      <c r="L3" s="3"/>
      <c r="M3" s="3" t="s">
        <v>5</v>
      </c>
    </row>
    <row r="4" spans="1:17">
      <c r="A4" s="3"/>
      <c r="C4" s="3"/>
      <c r="D4" s="3"/>
      <c r="E4" s="3"/>
      <c r="F4" s="3"/>
      <c r="G4" s="3"/>
      <c r="J4" s="3"/>
      <c r="K4" s="3"/>
      <c r="L4" s="3"/>
      <c r="M4" s="3"/>
    </row>
    <row r="5" spans="1:17">
      <c r="C5" s="42"/>
      <c r="D5" s="42"/>
      <c r="E5" s="42"/>
      <c r="F5" s="42"/>
      <c r="G5" s="42"/>
      <c r="J5" s="42"/>
      <c r="K5" s="42"/>
      <c r="L5" s="42"/>
      <c r="M5" s="42"/>
    </row>
    <row r="6" spans="1:17" ht="30" customHeight="1">
      <c r="A6" s="106" t="s">
        <v>95</v>
      </c>
      <c r="B6" s="107"/>
      <c r="C6" s="107"/>
      <c r="D6" s="107"/>
      <c r="E6" s="107"/>
      <c r="F6" s="107"/>
      <c r="G6" s="107"/>
      <c r="H6" s="107"/>
      <c r="I6" s="107"/>
      <c r="J6" s="107"/>
      <c r="K6" s="107"/>
      <c r="L6" s="107"/>
      <c r="M6" s="107"/>
      <c r="N6" s="47"/>
      <c r="O6" s="47"/>
      <c r="P6" s="47"/>
      <c r="Q6" s="47"/>
    </row>
    <row r="7" spans="1:17" ht="24.95" customHeight="1">
      <c r="A7" s="135" t="s">
        <v>7</v>
      </c>
      <c r="B7" s="135" t="s">
        <v>8</v>
      </c>
      <c r="C7" s="133" t="s">
        <v>26</v>
      </c>
      <c r="D7" s="134"/>
      <c r="E7" s="134"/>
      <c r="F7" s="134"/>
      <c r="G7" s="134"/>
      <c r="H7" s="134"/>
      <c r="I7" s="134"/>
      <c r="J7" s="134"/>
      <c r="K7" s="134"/>
      <c r="L7" s="134"/>
      <c r="M7" s="134"/>
    </row>
    <row r="8" spans="1:17" ht="24.95" customHeight="1">
      <c r="A8" s="135"/>
      <c r="B8" s="135"/>
      <c r="C8" s="43" t="s">
        <v>177</v>
      </c>
      <c r="D8" s="103" t="s">
        <v>179</v>
      </c>
      <c r="E8" s="67">
        <v>46266</v>
      </c>
      <c r="F8" s="43"/>
      <c r="G8" s="43"/>
      <c r="H8" s="43"/>
      <c r="I8" s="43"/>
      <c r="J8" s="43"/>
      <c r="K8" s="43"/>
      <c r="L8" s="43"/>
      <c r="M8" s="43"/>
    </row>
    <row r="9" spans="1:17" ht="20.100000000000001" customHeight="1">
      <c r="A9" s="27">
        <v>1</v>
      </c>
      <c r="B9" s="45" t="s">
        <v>96</v>
      </c>
      <c r="C9" s="27">
        <v>1</v>
      </c>
      <c r="D9" s="27">
        <v>1</v>
      </c>
      <c r="E9" s="27">
        <v>1</v>
      </c>
      <c r="F9" s="27"/>
      <c r="G9" s="27"/>
      <c r="H9" s="27"/>
      <c r="I9" s="27"/>
      <c r="J9" s="27"/>
      <c r="K9" s="27"/>
      <c r="L9" s="27"/>
      <c r="M9" s="27"/>
    </row>
    <row r="10" spans="1:17" ht="20.100000000000001" customHeight="1">
      <c r="A10" s="27">
        <v>2</v>
      </c>
      <c r="B10" s="45" t="s">
        <v>97</v>
      </c>
      <c r="C10" s="27">
        <v>1</v>
      </c>
      <c r="D10" s="27">
        <v>1</v>
      </c>
      <c r="E10" s="27">
        <v>1</v>
      </c>
      <c r="F10" s="27"/>
      <c r="G10" s="27"/>
      <c r="H10" s="27"/>
      <c r="I10" s="27"/>
      <c r="J10" s="27"/>
      <c r="K10" s="27"/>
      <c r="L10" s="27"/>
      <c r="M10" s="27"/>
    </row>
    <row r="11" spans="1:17" ht="20.100000000000001" customHeight="1">
      <c r="A11" s="27">
        <v>3</v>
      </c>
      <c r="B11" s="45" t="s">
        <v>98</v>
      </c>
      <c r="C11" s="27">
        <v>1</v>
      </c>
      <c r="D11" s="27">
        <v>1</v>
      </c>
      <c r="E11" s="27">
        <v>1</v>
      </c>
      <c r="F11" s="27"/>
      <c r="G11" s="27"/>
      <c r="H11" s="27"/>
      <c r="I11" s="27"/>
      <c r="J11" s="27"/>
      <c r="K11" s="27"/>
      <c r="L11" s="27"/>
      <c r="M11" s="27"/>
    </row>
    <row r="12" spans="1:17" ht="20.100000000000001" customHeight="1">
      <c r="A12" s="27">
        <v>4</v>
      </c>
      <c r="B12" s="75" t="s">
        <v>85</v>
      </c>
      <c r="C12" s="27">
        <v>1</v>
      </c>
      <c r="D12" s="27">
        <v>1</v>
      </c>
      <c r="E12" s="27">
        <v>1</v>
      </c>
      <c r="F12" s="27"/>
      <c r="G12" s="27"/>
      <c r="H12" s="27"/>
      <c r="I12" s="27"/>
      <c r="J12" s="27"/>
      <c r="K12" s="27"/>
      <c r="L12" s="27"/>
      <c r="M12" s="27"/>
    </row>
    <row r="13" spans="1:17" ht="20.100000000000001" customHeight="1">
      <c r="A13" s="27">
        <v>5</v>
      </c>
      <c r="B13" s="75" t="s">
        <v>99</v>
      </c>
      <c r="C13" s="27">
        <v>1</v>
      </c>
      <c r="D13" s="27">
        <v>1</v>
      </c>
      <c r="E13" s="27">
        <v>1</v>
      </c>
      <c r="F13" s="27"/>
      <c r="G13" s="27"/>
      <c r="H13" s="27"/>
      <c r="I13" s="27"/>
      <c r="J13" s="27"/>
      <c r="K13" s="27"/>
      <c r="L13" s="27"/>
      <c r="M13" s="27"/>
    </row>
    <row r="14" spans="1:17" ht="20.100000000000001" customHeight="1">
      <c r="A14" s="108" t="s">
        <v>10</v>
      </c>
      <c r="B14" s="108"/>
      <c r="C14" s="46">
        <f t="shared" ref="C14:M14" si="0">IFERROR(AVERAGE(C9:C13),"-")</f>
        <v>1</v>
      </c>
      <c r="D14" s="46">
        <f t="shared" si="0"/>
        <v>1</v>
      </c>
      <c r="E14" s="46">
        <f t="shared" si="0"/>
        <v>1</v>
      </c>
      <c r="F14" s="46" t="str">
        <f t="shared" si="0"/>
        <v>-</v>
      </c>
      <c r="G14" s="46" t="str">
        <f t="shared" si="0"/>
        <v>-</v>
      </c>
      <c r="H14" s="46" t="str">
        <f t="shared" si="0"/>
        <v>-</v>
      </c>
      <c r="I14" s="46" t="str">
        <f t="shared" si="0"/>
        <v>-</v>
      </c>
      <c r="J14" s="46" t="str">
        <f t="shared" si="0"/>
        <v>-</v>
      </c>
      <c r="K14" s="46" t="str">
        <f t="shared" si="0"/>
        <v>-</v>
      </c>
      <c r="L14" s="46" t="str">
        <f t="shared" si="0"/>
        <v>-</v>
      </c>
      <c r="M14" s="46" t="str">
        <f t="shared" si="0"/>
        <v>-</v>
      </c>
    </row>
  </sheetData>
  <mergeCells count="5">
    <mergeCell ref="A6:M6"/>
    <mergeCell ref="C7:M7"/>
    <mergeCell ref="A14:B14"/>
    <mergeCell ref="A7:A8"/>
    <mergeCell ref="B7:B8"/>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4E100DCD-481C-4E14-AFBA-1B9A8516FCC7}">
            <xm:f>NOT(ISERROR(SEARCH(0,C9)))</xm:f>
            <xm:f>0</xm:f>
            <x14:dxf>
              <font>
                <color theme="0"/>
              </font>
              <fill>
                <patternFill patternType="solid">
                  <bgColor rgb="FFC00000"/>
                </patternFill>
              </fill>
            </x14:dxf>
          </x14:cfRule>
          <xm:sqref>C9:M13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pageSetUpPr fitToPage="1"/>
  </sheetPr>
  <dimension ref="A1:Q37"/>
  <sheetViews>
    <sheetView zoomScale="70" zoomScaleNormal="70" workbookViewId="0">
      <selection activeCell="C19" sqref="C19"/>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7">
      <c r="A1" s="25" t="s">
        <v>0</v>
      </c>
      <c r="Q1" s="3" t="s">
        <v>1</v>
      </c>
    </row>
    <row r="2" spans="1:17">
      <c r="A2" s="25" t="s">
        <v>2</v>
      </c>
      <c r="Q2" s="3" t="s">
        <v>3</v>
      </c>
    </row>
    <row r="3" spans="1:17">
      <c r="A3" s="25" t="s">
        <v>24</v>
      </c>
      <c r="C3" s="3"/>
      <c r="D3" s="3"/>
      <c r="E3" s="3"/>
      <c r="F3" s="3"/>
      <c r="J3" s="3"/>
      <c r="L3" s="3"/>
      <c r="M3" s="3" t="s">
        <v>5</v>
      </c>
    </row>
    <row r="4" spans="1:17">
      <c r="A4" s="3"/>
      <c r="Q4" s="3"/>
    </row>
    <row r="6" spans="1:17" ht="32.1" customHeight="1">
      <c r="A6" s="107" t="s">
        <v>95</v>
      </c>
      <c r="B6" s="107"/>
      <c r="C6" s="107"/>
      <c r="D6" s="107"/>
      <c r="E6" s="107"/>
      <c r="F6" s="107"/>
      <c r="G6" s="107"/>
      <c r="H6" s="107"/>
      <c r="I6" s="107"/>
      <c r="J6" s="107"/>
      <c r="K6" s="107"/>
      <c r="L6" s="107"/>
      <c r="M6" s="107"/>
      <c r="N6" s="107"/>
      <c r="O6" s="107"/>
      <c r="P6" s="107"/>
      <c r="Q6" s="107"/>
    </row>
    <row r="8" spans="1:17">
      <c r="A8" s="26" t="s">
        <v>12</v>
      </c>
      <c r="B8" s="124" t="s">
        <v>13</v>
      </c>
      <c r="C8" s="124"/>
      <c r="D8" s="124"/>
      <c r="E8" s="7"/>
      <c r="F8" s="7"/>
      <c r="G8" s="7"/>
      <c r="H8" s="7"/>
      <c r="I8" s="7"/>
    </row>
    <row r="9" spans="1:17">
      <c r="A9" s="26" t="s">
        <v>14</v>
      </c>
      <c r="B9" s="124" t="s">
        <v>15</v>
      </c>
      <c r="C9" s="124"/>
      <c r="D9" s="124"/>
      <c r="E9" s="7"/>
      <c r="F9" s="7"/>
      <c r="G9" s="7"/>
      <c r="H9" s="7"/>
      <c r="I9" s="7"/>
    </row>
    <row r="10" spans="1:17">
      <c r="A10" s="27" t="s">
        <v>16</v>
      </c>
      <c r="B10" s="125">
        <v>0.8</v>
      </c>
      <c r="C10" s="125"/>
      <c r="D10" s="125"/>
      <c r="E10" s="11"/>
      <c r="F10" s="11"/>
      <c r="G10" s="11"/>
      <c r="H10" s="11"/>
      <c r="I10" s="11"/>
    </row>
    <row r="12" spans="1:17">
      <c r="A12" s="29" t="s">
        <v>17</v>
      </c>
      <c r="B12" s="29" t="s">
        <v>12</v>
      </c>
      <c r="C12" s="29" t="s">
        <v>14</v>
      </c>
      <c r="D12" s="29" t="s">
        <v>18</v>
      </c>
    </row>
    <row r="13" spans="1:17">
      <c r="A13" s="56" t="inlineStr">
        <is>
          <t>3/2026</t>
        </is>
      </c>
      <c r="B13" s="31">
        <f>SUMPRODUCT(--('مكافحة القوارض'!$C$9:$C$13&amp;""="1"))</f>
        <v>5</v>
      </c>
      <c r="C13" s="31">
        <f>SUMPRODUCT(--('مكافحة القوارض'!$C$9:$C$13&amp;""="1"))+SUMPRODUCT(--('مكافحة القوارض'!$C$9:$C$13&amp;""="0"))</f>
        <v>5</v>
      </c>
      <c r="D13" s="28">
        <f>IFERROR(B13/C13,"")</f>
        <v>1</v>
      </c>
    </row>
    <row r="14" spans="1:17">
      <c r="A14" s="56" t="inlineStr">
        <is>
          <t>6/2026</t>
        </is>
      </c>
      <c r="B14" s="31">
        <f>SUMPRODUCT(--('مكافحة القوارض'!$D$9:$D$13&amp;""="1"))</f>
        <v>5</v>
      </c>
      <c r="C14" s="31">
        <f>SUMPRODUCT(--('مكافحة القوارض'!$D$9:$D$13&amp;""="1"))+SUMPRODUCT(--('مكافحة القوارض'!$D$9:$D$13&amp;""="0"))</f>
        <v>5</v>
      </c>
      <c r="D14" s="28">
        <f>IFERROR(B14/C14,"")</f>
        <v>1</v>
      </c>
    </row>
    <row r="15" spans="1:17">
      <c r="A15" s="56" t="inlineStr">
        <is>
          <t>9/2026</t>
        </is>
      </c>
      <c r="B15" s="31">
        <f>SUMPRODUCT(--('مكافحة القوارض'!$E$9:$E$13&amp;""="1"))</f>
        <v>5</v>
      </c>
      <c r="C15" s="31">
        <f>SUMPRODUCT(--('مكافحة القوارض'!$E$9:$E$13&amp;""="1"))+SUMPRODUCT(--('مكافحة القوارض'!$E$9:$E$13&amp;""="0"))</f>
        <v>5</v>
      </c>
      <c r="D15" s="28">
        <f>IFERROR(B15/C15,"")</f>
        <v>1</v>
      </c>
    </row>
    <row r="16" spans="1:17">
      <c r="A16" s="27"/>
      <c r="B16" s="31"/>
      <c r="C16" s="31"/>
      <c r="D16" s="28" t="str">
        <f>IFERROR(B16/C16,"")</f>
        <v/>
      </c>
    </row>
    <row r="17" spans="1:13">
      <c r="A17" s="27"/>
      <c r="B17" s="31"/>
      <c r="C17" s="31"/>
      <c r="D17" s="28" t="str">
        <f>IFERROR(B17/C17,"")</f>
        <v/>
      </c>
    </row>
    <row r="18" spans="1:13">
      <c r="A18" s="27"/>
      <c r="B18" s="31"/>
      <c r="C18" s="31"/>
      <c r="D18" s="28" t="str">
        <f>IFERROR(B18/C18,"")</f>
        <v/>
      </c>
    </row>
    <row r="19" spans="1:13">
      <c r="A19" s="27"/>
      <c r="B19" s="31"/>
      <c r="C19" s="31"/>
      <c r="D19" s="28" t="str">
        <f>IFERROR(B19/C19,"")</f>
        <v/>
      </c>
    </row>
    <row r="20" spans="1:13">
      <c r="A20" s="56"/>
      <c r="B20" s="31"/>
      <c r="C20" s="31"/>
      <c r="D20" s="28" t="str">
        <f>IFERROR(B20/C20,"")</f>
        <v/>
      </c>
    </row>
    <row r="21" spans="1:13">
      <c r="A21" s="56"/>
      <c r="B21" s="31"/>
      <c r="C21" s="31"/>
      <c r="D21" s="28" t="str">
        <f>IFERROR(B21/C21,"")</f>
        <v/>
      </c>
    </row>
    <row r="22" spans="1:13">
      <c r="A22" s="56"/>
      <c r="B22" s="31"/>
      <c r="C22" s="31"/>
      <c r="D22" s="28" t="str">
        <f>IFERROR(B22/C22,"")</f>
        <v/>
      </c>
    </row>
    <row r="23" spans="1:13">
      <c r="A23" s="56"/>
      <c r="B23" s="31"/>
      <c r="C23" s="31"/>
      <c r="D23" s="28" t="str">
        <f>IFERROR(B23/C23,"")</f>
        <v/>
      </c>
    </row>
    <row r="24" spans="1:13">
      <c r="A24" s="140" t="s">
        <v>19</v>
      </c>
      <c r="B24" s="140"/>
      <c r="C24" s="140"/>
      <c r="D24" s="35">
        <f>AVERAGE(D13:D23)</f>
        <v>1</v>
      </c>
    </row>
    <row r="26" spans="1:13" ht="23.45" customHeight="1">
      <c r="A26" s="36" t="s">
        <v>17</v>
      </c>
      <c r="B26" s="129" t="s">
        <v>20</v>
      </c>
      <c r="C26" s="129"/>
      <c r="D26" s="129"/>
      <c r="E26" s="129" t="s">
        <v>21</v>
      </c>
      <c r="F26" s="129"/>
      <c r="G26" s="129"/>
      <c r="H26" s="129"/>
      <c r="I26" s="129"/>
      <c r="J26" s="129"/>
      <c r="K26" s="129" t="s">
        <v>22</v>
      </c>
      <c r="L26" s="129"/>
      <c r="M26" s="36" t="s">
        <v>23</v>
      </c>
    </row>
    <row r="27" spans="1:13">
      <c r="A27" s="27"/>
      <c r="B27" s="137"/>
      <c r="C27" s="137"/>
      <c r="D27" s="137"/>
      <c r="E27" s="137"/>
      <c r="F27" s="137"/>
      <c r="G27" s="137"/>
      <c r="H27" s="137"/>
      <c r="I27" s="137"/>
      <c r="J27" s="137"/>
      <c r="K27" s="137"/>
      <c r="L27" s="137"/>
      <c r="M27" s="37"/>
    </row>
    <row r="28" spans="1:13">
      <c r="A28" s="72"/>
      <c r="B28" s="136"/>
      <c r="C28" s="136"/>
      <c r="D28" s="136"/>
      <c r="E28" s="136"/>
      <c r="F28" s="136"/>
      <c r="G28" s="136"/>
      <c r="H28" s="136"/>
      <c r="I28" s="136"/>
      <c r="J28" s="136"/>
      <c r="K28" s="136"/>
      <c r="L28" s="136"/>
      <c r="M28" s="39"/>
    </row>
    <row r="29" spans="1:13">
      <c r="A29" s="27"/>
      <c r="B29" s="137"/>
      <c r="C29" s="137"/>
      <c r="D29" s="137"/>
      <c r="E29" s="137"/>
      <c r="F29" s="137"/>
      <c r="G29" s="137"/>
      <c r="H29" s="137"/>
      <c r="I29" s="137"/>
      <c r="J29" s="137"/>
      <c r="K29" s="137"/>
      <c r="L29" s="137"/>
      <c r="M29" s="37"/>
    </row>
    <row r="30" spans="1:13">
      <c r="A30" s="72"/>
      <c r="B30" s="136"/>
      <c r="C30" s="136"/>
      <c r="D30" s="136"/>
      <c r="E30" s="136"/>
      <c r="F30" s="136"/>
      <c r="G30" s="136"/>
      <c r="H30" s="136"/>
      <c r="I30" s="136"/>
      <c r="J30" s="136"/>
      <c r="K30" s="136"/>
      <c r="L30" s="136"/>
      <c r="M30" s="39"/>
    </row>
    <row r="31" spans="1:13">
      <c r="A31" s="27"/>
      <c r="B31" s="137"/>
      <c r="C31" s="137"/>
      <c r="D31" s="137"/>
      <c r="E31" s="137"/>
      <c r="F31" s="137"/>
      <c r="G31" s="137"/>
      <c r="H31" s="137"/>
      <c r="I31" s="137"/>
      <c r="J31" s="137"/>
      <c r="K31" s="137"/>
      <c r="L31" s="137"/>
      <c r="M31" s="37"/>
    </row>
    <row r="32" spans="1:13">
      <c r="A32" s="72"/>
      <c r="B32" s="136"/>
      <c r="C32" s="136"/>
      <c r="D32" s="136"/>
      <c r="E32" s="136"/>
      <c r="F32" s="136"/>
      <c r="G32" s="136"/>
      <c r="H32" s="136"/>
      <c r="I32" s="136"/>
      <c r="J32" s="136"/>
      <c r="K32" s="136"/>
      <c r="L32" s="136"/>
      <c r="M32" s="39"/>
    </row>
    <row r="33" spans="1:13">
      <c r="A33" s="27"/>
      <c r="B33" s="137"/>
      <c r="C33" s="137"/>
      <c r="D33" s="137"/>
      <c r="E33" s="137"/>
      <c r="F33" s="137"/>
      <c r="G33" s="137"/>
      <c r="H33" s="137"/>
      <c r="I33" s="137"/>
      <c r="J33" s="137"/>
      <c r="K33" s="137"/>
      <c r="L33" s="137"/>
      <c r="M33" s="37"/>
    </row>
    <row r="34" spans="1:13">
      <c r="A34" s="73"/>
      <c r="B34" s="136"/>
      <c r="C34" s="136"/>
      <c r="D34" s="136"/>
      <c r="E34" s="136"/>
      <c r="F34" s="136"/>
      <c r="G34" s="136"/>
      <c r="H34" s="136"/>
      <c r="I34" s="136"/>
      <c r="J34" s="136"/>
      <c r="K34" s="136"/>
      <c r="L34" s="136"/>
      <c r="M34" s="39"/>
    </row>
    <row r="35" spans="1:13">
      <c r="A35" s="56"/>
      <c r="B35" s="137"/>
      <c r="C35" s="137"/>
      <c r="D35" s="137"/>
      <c r="E35" s="137"/>
      <c r="F35" s="137"/>
      <c r="G35" s="137"/>
      <c r="H35" s="137"/>
      <c r="I35" s="137"/>
      <c r="J35" s="137"/>
      <c r="K35" s="137"/>
      <c r="L35" s="137"/>
      <c r="M35" s="37"/>
    </row>
    <row r="36" spans="1:13">
      <c r="A36" s="73"/>
      <c r="B36" s="136"/>
      <c r="C36" s="136"/>
      <c r="D36" s="136"/>
      <c r="E36" s="136"/>
      <c r="F36" s="136"/>
      <c r="G36" s="136"/>
      <c r="H36" s="136"/>
      <c r="I36" s="136"/>
      <c r="J36" s="136"/>
      <c r="K36" s="136"/>
      <c r="L36" s="136"/>
      <c r="M36" s="39"/>
    </row>
    <row r="37" spans="1:13">
      <c r="A37" s="56"/>
      <c r="B37" s="137"/>
      <c r="C37" s="137"/>
      <c r="D37" s="137"/>
      <c r="E37" s="137"/>
      <c r="F37" s="137"/>
      <c r="G37" s="137"/>
      <c r="H37" s="137"/>
      <c r="I37" s="137"/>
      <c r="J37" s="137"/>
      <c r="K37" s="137"/>
      <c r="L37" s="137"/>
      <c r="M37" s="37"/>
    </row>
  </sheetData>
  <mergeCells count="41">
    <mergeCell ref="A6:Q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2"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pageSetUpPr fitToPage="1"/>
  </sheetPr>
  <dimension ref="A1:Q14"/>
  <sheetViews>
    <sheetView topLeftCell="B5" workbookViewId="0">
      <selection activeCell="B17" sqref="B17"/>
    </sheetView>
  </sheetViews>
  <sheetFormatPr defaultColWidth="8.85546875" defaultRowHeight="15.75"/>
  <cols>
    <col min="1" max="1" width="7.140625" style="1" customWidth="1"/>
    <col min="2" max="2" width="74.140625" style="1" customWidth="1"/>
    <col min="3" max="7" width="10.42578125" style="1" customWidth="1"/>
    <col min="8" max="9" width="8.85546875" style="1"/>
    <col min="10" max="13" width="10.42578125" style="1" customWidth="1"/>
    <col min="14" max="16384" width="8.85546875" style="1"/>
  </cols>
  <sheetData>
    <row r="1" spans="1:17">
      <c r="A1" s="25" t="s">
        <v>0</v>
      </c>
      <c r="C1" s="3"/>
      <c r="D1" s="3"/>
      <c r="E1" s="3"/>
      <c r="F1" s="3"/>
      <c r="G1" s="3"/>
      <c r="J1" s="3"/>
      <c r="K1" s="3"/>
      <c r="L1" s="3"/>
      <c r="M1" s="3" t="s">
        <v>1</v>
      </c>
    </row>
    <row r="2" spans="1:17">
      <c r="A2" s="25" t="s">
        <v>2</v>
      </c>
      <c r="C2" s="3"/>
      <c r="D2" s="3"/>
      <c r="E2" s="3"/>
      <c r="F2" s="3"/>
      <c r="G2" s="3"/>
      <c r="J2" s="3"/>
      <c r="K2" s="3"/>
      <c r="L2" s="3"/>
      <c r="M2" s="3" t="s">
        <v>3</v>
      </c>
    </row>
    <row r="3" spans="1:17">
      <c r="A3" s="25" t="s">
        <v>24</v>
      </c>
      <c r="C3" s="3"/>
      <c r="D3" s="3"/>
      <c r="E3" s="3"/>
      <c r="F3" s="3"/>
      <c r="J3" s="3"/>
      <c r="L3" s="3"/>
      <c r="M3" s="3" t="s">
        <v>5</v>
      </c>
    </row>
    <row r="4" spans="1:17">
      <c r="A4" s="3"/>
      <c r="C4" s="3"/>
      <c r="D4" s="3"/>
      <c r="E4" s="3"/>
      <c r="F4" s="3"/>
      <c r="G4" s="3"/>
      <c r="J4" s="3"/>
      <c r="K4" s="3"/>
      <c r="L4" s="3"/>
      <c r="M4" s="3"/>
    </row>
    <row r="5" spans="1:17">
      <c r="C5" s="42"/>
      <c r="D5" s="42"/>
      <c r="E5" s="42"/>
      <c r="F5" s="42"/>
      <c r="G5" s="42"/>
      <c r="J5" s="42"/>
      <c r="K5" s="42"/>
      <c r="L5" s="42"/>
      <c r="M5" s="42"/>
    </row>
    <row r="6" spans="1:17" ht="30" customHeight="1">
      <c r="A6" s="106" t="s">
        <v>100</v>
      </c>
      <c r="B6" s="107"/>
      <c r="C6" s="107"/>
      <c r="D6" s="107"/>
      <c r="E6" s="107"/>
      <c r="F6" s="107"/>
      <c r="G6" s="107"/>
      <c r="H6" s="107"/>
      <c r="I6" s="107"/>
      <c r="J6" s="107"/>
      <c r="K6" s="107"/>
      <c r="L6" s="107"/>
      <c r="M6" s="107"/>
      <c r="N6" s="47"/>
      <c r="O6" s="47"/>
      <c r="P6" s="47"/>
      <c r="Q6" s="47"/>
    </row>
    <row r="7" spans="1:17" ht="24.95" customHeight="1">
      <c r="A7" s="135" t="s">
        <v>7</v>
      </c>
      <c r="B7" s="135" t="s">
        <v>8</v>
      </c>
      <c r="C7" s="133" t="s">
        <v>26</v>
      </c>
      <c r="D7" s="134"/>
      <c r="E7" s="134"/>
      <c r="F7" s="134"/>
      <c r="G7" s="134"/>
      <c r="H7" s="134"/>
      <c r="I7" s="134"/>
      <c r="J7" s="134"/>
      <c r="K7" s="134"/>
      <c r="L7" s="134"/>
      <c r="M7" s="134"/>
    </row>
    <row r="8" spans="1:17" ht="24.95" customHeight="1">
      <c r="A8" s="135"/>
      <c r="B8" s="135"/>
      <c r="C8" s="43" t="s">
        <v>177</v>
      </c>
      <c r="D8" s="43" t="s">
        <v>179</v>
      </c>
      <c r="E8" s="43" t="s">
        <v>178</v>
      </c>
      <c r="F8" s="43" t="s">
        <v>180</v>
      </c>
      <c r="G8" s="43"/>
      <c r="H8" s="43"/>
      <c r="I8" s="43"/>
      <c r="J8" s="43"/>
      <c r="K8" s="43"/>
      <c r="L8" s="43"/>
      <c r="M8" s="43"/>
    </row>
    <row r="9" spans="1:17" ht="20.100000000000001" customHeight="1">
      <c r="A9" s="26">
        <v>1</v>
      </c>
      <c r="B9" s="44" t="s">
        <v>101</v>
      </c>
      <c r="C9" s="26">
        <v>1</v>
      </c>
      <c r="D9" s="26">
        <v>1</v>
      </c>
      <c r="E9" s="26">
        <v>1</v>
      </c>
      <c r="F9" s="26"/>
      <c r="G9" s="26"/>
      <c r="H9" s="26"/>
      <c r="I9" s="26"/>
      <c r="J9" s="26"/>
      <c r="K9" s="26"/>
      <c r="L9" s="26"/>
      <c r="M9" s="26"/>
    </row>
    <row r="10" spans="1:17" ht="20.100000000000001" customHeight="1">
      <c r="A10" s="27">
        <v>2</v>
      </c>
      <c r="B10" s="45" t="s">
        <v>82</v>
      </c>
      <c r="C10" s="27">
        <v>1</v>
      </c>
      <c r="D10" s="26">
        <v>1</v>
      </c>
      <c r="E10" s="26">
        <v>1</v>
      </c>
      <c r="F10" s="27"/>
      <c r="G10" s="27"/>
      <c r="H10" s="27"/>
      <c r="I10" s="27"/>
      <c r="J10" s="27"/>
      <c r="K10" s="27"/>
      <c r="L10" s="27"/>
      <c r="M10" s="27"/>
    </row>
    <row r="11" spans="1:17" ht="20.100000000000001" customHeight="1">
      <c r="A11" s="26">
        <v>3</v>
      </c>
      <c r="B11" s="44" t="s">
        <v>102</v>
      </c>
      <c r="C11" s="26">
        <v>1</v>
      </c>
      <c r="D11" s="26">
        <v>1</v>
      </c>
      <c r="E11" s="26">
        <v>1</v>
      </c>
      <c r="F11" s="26"/>
      <c r="G11" s="26"/>
      <c r="H11" s="26"/>
      <c r="I11" s="26"/>
      <c r="J11" s="26"/>
      <c r="K11" s="26"/>
      <c r="L11" s="26"/>
      <c r="M11" s="26"/>
    </row>
    <row r="12" spans="1:17" ht="20.100000000000001" customHeight="1">
      <c r="A12" s="27">
        <v>4</v>
      </c>
      <c r="B12" s="75" t="s">
        <v>79</v>
      </c>
      <c r="C12" s="27">
        <v>1</v>
      </c>
      <c r="D12" s="26">
        <v>1</v>
      </c>
      <c r="E12" s="26">
        <v>1</v>
      </c>
      <c r="F12" s="27"/>
      <c r="G12" s="27"/>
      <c r="H12" s="27"/>
      <c r="I12" s="27"/>
      <c r="J12" s="27"/>
      <c r="K12" s="27"/>
      <c r="L12" s="27"/>
      <c r="M12" s="27"/>
    </row>
    <row r="13" spans="1:17" ht="20.100000000000001" customHeight="1">
      <c r="A13" s="26">
        <v>5</v>
      </c>
      <c r="B13" s="44" t="s">
        <v>80</v>
      </c>
      <c r="C13" s="26">
        <v>1</v>
      </c>
      <c r="D13" s="26">
        <v>1</v>
      </c>
      <c r="E13" s="26">
        <v>1</v>
      </c>
      <c r="F13" s="26"/>
      <c r="G13" s="26"/>
      <c r="H13" s="26"/>
      <c r="I13" s="26"/>
      <c r="J13" s="26"/>
      <c r="K13" s="26"/>
      <c r="L13" s="26"/>
      <c r="M13" s="26"/>
    </row>
    <row r="14" spans="1:17" ht="20.100000000000001" customHeight="1">
      <c r="A14" s="108" t="s">
        <v>10</v>
      </c>
      <c r="B14" s="108"/>
      <c r="C14" s="46">
        <f>AVERAGE(C9:C13)</f>
        <v>1</v>
      </c>
      <c r="D14" s="46">
        <v>1</v>
      </c>
      <c r="E14" s="46">
        <v>1</v>
      </c>
      <c r="F14" s="46" t="e">
        <f>AVERAGE(F9:F13)</f>
        <v>#DIV/0!</v>
      </c>
      <c r="G14" s="46" t="str">
        <f>IFERROR(AVERAGE(G9:G13),"-")</f>
        <v>-</v>
      </c>
      <c r="H14" s="46" t="str">
        <f t="shared" ref="H14:K14" si="0">IFERROR(AVERAGE(H9:H13),"-")</f>
        <v>-</v>
      </c>
      <c r="I14" s="46" t="str">
        <f t="shared" si="0"/>
        <v>-</v>
      </c>
      <c r="J14" s="46" t="str">
        <f t="shared" si="0"/>
        <v>-</v>
      </c>
      <c r="K14" s="46" t="str">
        <f t="shared" si="0"/>
        <v>-</v>
      </c>
      <c r="L14" s="46" t="str">
        <f t="shared" ref="L14:M14" si="1">IFERROR(AVERAGE(L9:L13),"-")</f>
        <v>-</v>
      </c>
      <c r="M14" s="46" t="str">
        <f t="shared" si="1"/>
        <v>-</v>
      </c>
    </row>
  </sheetData>
  <mergeCells count="5">
    <mergeCell ref="A6:M6"/>
    <mergeCell ref="C7:M7"/>
    <mergeCell ref="A14:B14"/>
    <mergeCell ref="A7:A8"/>
    <mergeCell ref="B7:B8"/>
  </mergeCells>
  <printOptions horizontalCentered="1"/>
  <pageMargins left="0.70866141732283505" right="0.70866141732283505" top="0.74803149606299202" bottom="0.74803149606299202" header="0.31496062992126" footer="0.31496062992126"/>
  <pageSetup paperSize="9" scale="86"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1164B939-0ED7-435C-80A0-35E165A19482}">
            <xm:f>NOT(ISERROR(SEARCH(0,C9)))</xm:f>
            <xm:f>0</xm:f>
            <x14:dxf>
              <font>
                <color theme="0"/>
              </font>
              <fill>
                <patternFill patternType="solid">
                  <bgColor rgb="FFC00000"/>
                </patternFill>
              </fill>
            </x14:dxf>
          </x14:cfRule>
          <xm:sqref>C9:M13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pageSetUpPr fitToPage="1"/>
  </sheetPr>
  <dimension ref="A1:P14"/>
  <sheetViews>
    <sheetView workbookViewId="0">
      <selection activeCell="A6" sqref="A6:I6"/>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6">
      <c r="B1" s="25" t="s">
        <v>0</v>
      </c>
      <c r="C1" s="3"/>
      <c r="D1" s="3"/>
      <c r="E1" s="3"/>
      <c r="F1" s="3"/>
      <c r="G1" s="3" t="s">
        <v>1</v>
      </c>
    </row>
    <row r="2" spans="1:16">
      <c r="B2" s="25" t="s">
        <v>2</v>
      </c>
      <c r="C2" s="3"/>
      <c r="D2" s="3"/>
      <c r="E2" s="3"/>
      <c r="F2" s="3"/>
      <c r="G2" s="3" t="s">
        <v>3</v>
      </c>
    </row>
    <row r="3" spans="1:16">
      <c r="A3" s="3" t="s">
        <v>75</v>
      </c>
      <c r="B3" s="3" t="s">
        <v>44</v>
      </c>
      <c r="C3" s="3"/>
      <c r="D3" s="3"/>
      <c r="E3" s="3"/>
      <c r="F3" s="3"/>
      <c r="G3" s="3" t="s">
        <v>53</v>
      </c>
    </row>
    <row r="4" spans="1:16">
      <c r="A4" s="3"/>
      <c r="C4" s="3"/>
      <c r="D4" s="3"/>
      <c r="E4" s="3"/>
      <c r="F4" s="3"/>
      <c r="G4" s="3"/>
    </row>
    <row r="5" spans="1:16">
      <c r="C5" s="42"/>
      <c r="D5" s="42"/>
      <c r="E5" s="42"/>
      <c r="F5" s="42"/>
      <c r="G5" s="42"/>
    </row>
    <row r="6" spans="1:16" ht="30" customHeight="1">
      <c r="A6" s="144" t="s">
        <v>103</v>
      </c>
      <c r="B6" s="145"/>
      <c r="C6" s="145"/>
      <c r="D6" s="145"/>
      <c r="E6" s="145"/>
      <c r="F6" s="145"/>
      <c r="G6" s="145"/>
      <c r="H6" s="145"/>
      <c r="I6" s="145"/>
      <c r="J6" s="47"/>
      <c r="K6" s="47"/>
      <c r="L6" s="47"/>
      <c r="M6" s="47"/>
      <c r="N6" s="47"/>
      <c r="O6" s="47"/>
      <c r="P6" s="47"/>
    </row>
    <row r="7" spans="1:16" ht="24.95" customHeight="1">
      <c r="A7" s="135" t="s">
        <v>7</v>
      </c>
      <c r="B7" s="135" t="s">
        <v>8</v>
      </c>
      <c r="C7" s="146" t="s">
        <v>26</v>
      </c>
      <c r="D7" s="147"/>
      <c r="E7" s="147"/>
      <c r="F7" s="147"/>
      <c r="G7" s="147"/>
      <c r="H7" s="147"/>
      <c r="I7" s="148"/>
    </row>
    <row r="8" spans="1:16" ht="24.95" customHeight="1">
      <c r="A8" s="135"/>
      <c r="B8" s="135"/>
      <c r="C8" s="43" t="s">
        <v>55</v>
      </c>
      <c r="D8" s="43" t="s">
        <v>56</v>
      </c>
      <c r="E8" s="43" t="s">
        <v>57</v>
      </c>
      <c r="F8" s="43" t="s">
        <v>58</v>
      </c>
      <c r="G8" s="43" t="s">
        <v>59</v>
      </c>
      <c r="H8" s="43" t="s">
        <v>60</v>
      </c>
      <c r="I8" s="43" t="s">
        <v>61</v>
      </c>
    </row>
    <row r="9" spans="1:16" ht="20.100000000000001" customHeight="1">
      <c r="A9" s="26">
        <v>1</v>
      </c>
      <c r="B9" s="44" t="s">
        <v>79</v>
      </c>
      <c r="C9" s="26">
        <v>1</v>
      </c>
      <c r="D9" s="26">
        <v>1</v>
      </c>
      <c r="E9" s="26">
        <v>1</v>
      </c>
      <c r="F9" s="26">
        <v>1</v>
      </c>
      <c r="G9" s="26">
        <v>1</v>
      </c>
      <c r="H9" s="26">
        <v>1</v>
      </c>
      <c r="I9" s="26"/>
    </row>
    <row r="10" spans="1:16" ht="30.75" customHeight="1">
      <c r="A10" s="27">
        <v>2</v>
      </c>
      <c r="B10" s="45" t="s">
        <v>80</v>
      </c>
      <c r="C10" s="27">
        <v>1</v>
      </c>
      <c r="D10" s="27">
        <v>1</v>
      </c>
      <c r="E10" s="27">
        <v>1</v>
      </c>
      <c r="F10" s="27">
        <v>1</v>
      </c>
      <c r="G10" s="27">
        <v>1</v>
      </c>
      <c r="H10" s="27">
        <v>1</v>
      </c>
      <c r="I10" s="27"/>
    </row>
    <row r="11" spans="1:16" ht="25.5">
      <c r="A11" s="26">
        <v>3</v>
      </c>
      <c r="B11" s="74" t="s">
        <v>81</v>
      </c>
      <c r="C11" s="26">
        <v>1</v>
      </c>
      <c r="D11" s="26">
        <v>1</v>
      </c>
      <c r="E11" s="26">
        <v>1</v>
      </c>
      <c r="F11" s="26">
        <v>1</v>
      </c>
      <c r="G11" s="26">
        <v>1</v>
      </c>
      <c r="H11" s="26">
        <v>1</v>
      </c>
      <c r="I11" s="26"/>
    </row>
    <row r="12" spans="1:16" ht="20.100000000000001" customHeight="1">
      <c r="A12" s="27">
        <v>4</v>
      </c>
      <c r="B12" s="45" t="s">
        <v>82</v>
      </c>
      <c r="C12" s="27">
        <v>1</v>
      </c>
      <c r="D12" s="27">
        <v>1</v>
      </c>
      <c r="E12" s="27">
        <v>1</v>
      </c>
      <c r="F12" s="27">
        <v>1</v>
      </c>
      <c r="G12" s="27">
        <v>1</v>
      </c>
      <c r="H12" s="27">
        <v>1</v>
      </c>
      <c r="I12" s="27"/>
    </row>
    <row r="13" spans="1:16" ht="25.5">
      <c r="A13" s="26">
        <v>5</v>
      </c>
      <c r="B13" s="44" t="s">
        <v>83</v>
      </c>
      <c r="C13" s="26">
        <v>1</v>
      </c>
      <c r="D13" s="26">
        <v>1</v>
      </c>
      <c r="E13" s="26">
        <v>1</v>
      </c>
      <c r="F13" s="26">
        <v>1</v>
      </c>
      <c r="G13" s="26">
        <v>1</v>
      </c>
      <c r="H13" s="26">
        <v>1</v>
      </c>
      <c r="I13" s="26"/>
    </row>
    <row r="14" spans="1:16" ht="20.100000000000001" customHeight="1">
      <c r="A14" s="108" t="s">
        <v>10</v>
      </c>
      <c r="B14" s="108"/>
      <c r="C14" s="46">
        <f>IFERROR(AVERAGE(C9:C13),"-")</f>
        <v>1</v>
      </c>
      <c r="D14" s="46">
        <f>IFERROR(AVERAGE(D9:D13),"-")</f>
        <v>1</v>
      </c>
      <c r="E14" s="46">
        <f>IFERROR(AVERAGE(E9:E13),"-")</f>
        <v>1</v>
      </c>
      <c r="F14" s="46">
        <f>IFERROR(AVERAGE(F9:F13),"-")</f>
        <v>1</v>
      </c>
      <c r="G14" s="46">
        <f>IFERROR(AVERAGE(G9:G13),"-")</f>
        <v>1</v>
      </c>
      <c r="H14" s="46">
        <f t="shared" ref="H14:I14" si="0">IFERROR(AVERAGE(H9:H13),"-")</f>
        <v>1</v>
      </c>
      <c r="I14" s="46" t="str">
        <f t="shared" si="0"/>
        <v>-</v>
      </c>
    </row>
  </sheetData>
  <mergeCells count="5">
    <mergeCell ref="A6:I6"/>
    <mergeCell ref="C7:I7"/>
    <mergeCell ref="A14:B14"/>
    <mergeCell ref="A7:A8"/>
    <mergeCell ref="B7:B8"/>
  </mergeCells>
  <pageMargins left="0.7" right="0.7" top="0.75" bottom="0.75" header="0.3" footer="0.3"/>
  <pageSetup paperSize="9" scale="85"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E649D756-8D5D-4819-843A-E69EC1BCE151}">
            <xm:f>NOT(ISERROR(SEARCH(0,C9)))</xm:f>
            <xm:f>0</xm:f>
            <x14:dxf>
              <font>
                <color theme="0"/>
              </font>
              <fill>
                <patternFill patternType="solid">
                  <bgColor rgb="FFC00000"/>
                </patternFill>
              </fill>
            </x14:dxf>
          </x14:cfRule>
          <xm:sqref>C9:I13</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M29"/>
  <sheetViews>
    <sheetView workbookViewId="0">
      <selection activeCell="A6" sqref="A6:M6"/>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B1" s="25" t="s">
        <v>0</v>
      </c>
      <c r="M1" s="3" t="s">
        <v>1</v>
      </c>
    </row>
    <row r="2" spans="1:13">
      <c r="B2" s="25" t="s">
        <v>2</v>
      </c>
      <c r="M2" s="3" t="s">
        <v>3</v>
      </c>
    </row>
    <row r="3" spans="1:13">
      <c r="B3" s="25" t="s">
        <v>44</v>
      </c>
      <c r="C3" s="3"/>
      <c r="D3" s="3"/>
      <c r="E3" s="3"/>
      <c r="F3" s="3"/>
      <c r="G3" s="3"/>
      <c r="M3" s="3" t="s">
        <v>53</v>
      </c>
    </row>
    <row r="4" spans="1:13">
      <c r="A4" s="3"/>
      <c r="M4" s="3"/>
    </row>
    <row r="6" spans="1:13" ht="32.1" customHeight="1">
      <c r="A6" s="107" t="s">
        <v>104</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30" t="s">
        <v>66</v>
      </c>
      <c r="B13" s="31">
        <v>5</v>
      </c>
      <c r="C13" s="31">
        <v>5</v>
      </c>
      <c r="D13" s="28">
        <f t="shared" ref="D13" si="0">B13/C13</f>
        <v>1</v>
      </c>
    </row>
    <row r="14" spans="1:13">
      <c r="A14" s="32" t="s">
        <v>67</v>
      </c>
      <c r="B14" s="33">
        <v>5</v>
      </c>
      <c r="C14" s="33">
        <v>5</v>
      </c>
      <c r="D14" s="34">
        <f>AVERAGE(B14/C14)</f>
        <v>1</v>
      </c>
    </row>
    <row r="15" spans="1:13">
      <c r="A15" s="30" t="s">
        <v>68</v>
      </c>
      <c r="B15" s="31">
        <v>5</v>
      </c>
      <c r="C15" s="31">
        <v>5</v>
      </c>
      <c r="D15" s="28">
        <f>AVERAGE(B15/C15)</f>
        <v>1</v>
      </c>
    </row>
    <row r="16" spans="1:13">
      <c r="A16" s="32" t="s">
        <v>69</v>
      </c>
      <c r="B16" s="33">
        <v>5</v>
      </c>
      <c r="C16" s="33">
        <v>5</v>
      </c>
      <c r="D16" s="34">
        <f>AVERAGE(B16/C16)</f>
        <v>1</v>
      </c>
    </row>
    <row r="17" spans="1:13">
      <c r="A17" s="30" t="s">
        <v>70</v>
      </c>
      <c r="B17" s="31">
        <v>5</v>
      </c>
      <c r="C17" s="31">
        <v>5</v>
      </c>
      <c r="D17" s="28">
        <f>B17/C17</f>
        <v>1</v>
      </c>
    </row>
    <row r="18" spans="1:13">
      <c r="A18" s="32" t="s">
        <v>71</v>
      </c>
      <c r="B18" s="33">
        <v>5</v>
      </c>
      <c r="C18" s="33">
        <v>5</v>
      </c>
      <c r="D18" s="34">
        <v>1</v>
      </c>
    </row>
    <row r="19" spans="1:13">
      <c r="A19" s="30" t="s">
        <v>72</v>
      </c>
      <c r="B19" s="31"/>
      <c r="C19" s="31"/>
      <c r="D19" s="28"/>
    </row>
    <row r="20" spans="1:13">
      <c r="A20" s="140" t="s">
        <v>19</v>
      </c>
      <c r="B20" s="140"/>
      <c r="C20" s="140"/>
      <c r="D20" s="35">
        <f>AVERAGE(D13:D19)</f>
        <v>1</v>
      </c>
    </row>
    <row r="21" spans="1:13">
      <c r="E21" s="1" t="s">
        <v>75</v>
      </c>
    </row>
    <row r="22" spans="1:13" ht="23.45" customHeight="1">
      <c r="A22" s="36" t="s">
        <v>17</v>
      </c>
      <c r="B22" s="130" t="s">
        <v>20</v>
      </c>
      <c r="C22" s="131"/>
      <c r="D22" s="132"/>
      <c r="E22" s="129" t="s">
        <v>21</v>
      </c>
      <c r="F22" s="129"/>
      <c r="G22" s="129"/>
      <c r="H22" s="129"/>
      <c r="I22" s="129"/>
      <c r="J22" s="129"/>
      <c r="K22" s="129" t="s">
        <v>22</v>
      </c>
      <c r="L22" s="129"/>
      <c r="M22" s="36" t="s">
        <v>23</v>
      </c>
    </row>
    <row r="23" spans="1:13" ht="38.450000000000003" customHeight="1">
      <c r="A23" s="30" t="s">
        <v>66</v>
      </c>
      <c r="B23" s="137" t="s">
        <v>73</v>
      </c>
      <c r="C23" s="137"/>
      <c r="D23" s="137"/>
      <c r="E23" s="137" t="s">
        <v>30</v>
      </c>
      <c r="F23" s="137"/>
      <c r="G23" s="137"/>
      <c r="H23" s="137"/>
      <c r="I23" s="137"/>
      <c r="J23" s="137"/>
      <c r="K23" s="137" t="s">
        <v>30</v>
      </c>
      <c r="L23" s="137"/>
      <c r="M23" s="37" t="s">
        <v>30</v>
      </c>
    </row>
    <row r="24" spans="1:13" ht="41.45" customHeight="1">
      <c r="A24" s="32" t="s">
        <v>67</v>
      </c>
      <c r="B24" s="119" t="s">
        <v>73</v>
      </c>
      <c r="C24" s="119"/>
      <c r="D24" s="119"/>
      <c r="E24" s="136" t="s">
        <v>30</v>
      </c>
      <c r="F24" s="136"/>
      <c r="G24" s="136"/>
      <c r="H24" s="136"/>
      <c r="I24" s="136"/>
      <c r="J24" s="136"/>
      <c r="K24" s="136" t="s">
        <v>30</v>
      </c>
      <c r="L24" s="136"/>
      <c r="M24" s="39" t="s">
        <v>30</v>
      </c>
    </row>
    <row r="25" spans="1:13" ht="44.1" customHeight="1">
      <c r="A25" s="30" t="s">
        <v>68</v>
      </c>
      <c r="B25" s="137" t="s">
        <v>73</v>
      </c>
      <c r="C25" s="137"/>
      <c r="D25" s="137"/>
      <c r="E25" s="137" t="s">
        <v>30</v>
      </c>
      <c r="F25" s="137"/>
      <c r="G25" s="137"/>
      <c r="H25" s="137"/>
      <c r="I25" s="137"/>
      <c r="J25" s="137"/>
      <c r="K25" s="137" t="s">
        <v>30</v>
      </c>
      <c r="L25" s="137"/>
      <c r="M25" s="37" t="s">
        <v>30</v>
      </c>
    </row>
    <row r="26" spans="1:13" ht="39" customHeight="1">
      <c r="A26" s="32" t="s">
        <v>69</v>
      </c>
      <c r="B26" s="119" t="s">
        <v>73</v>
      </c>
      <c r="C26" s="119"/>
      <c r="D26" s="119"/>
      <c r="E26" s="136" t="s">
        <v>30</v>
      </c>
      <c r="F26" s="136"/>
      <c r="G26" s="136"/>
      <c r="H26" s="136"/>
      <c r="I26" s="136"/>
      <c r="J26" s="136"/>
      <c r="K26" s="136" t="s">
        <v>30</v>
      </c>
      <c r="L26" s="136"/>
      <c r="M26" s="39" t="s">
        <v>30</v>
      </c>
    </row>
    <row r="27" spans="1:13" ht="44.45" customHeight="1">
      <c r="A27" s="30" t="s">
        <v>70</v>
      </c>
      <c r="B27" s="141" t="s">
        <v>73</v>
      </c>
      <c r="C27" s="142"/>
      <c r="D27" s="143"/>
      <c r="E27" s="137" t="s">
        <v>30</v>
      </c>
      <c r="F27" s="137"/>
      <c r="G27" s="137"/>
      <c r="H27" s="137"/>
      <c r="I27" s="137"/>
      <c r="J27" s="137"/>
      <c r="K27" s="137" t="s">
        <v>30</v>
      </c>
      <c r="L27" s="137"/>
      <c r="M27" s="37" t="s">
        <v>30</v>
      </c>
    </row>
    <row r="28" spans="1:13" ht="35.25" customHeight="1">
      <c r="A28" s="32" t="s">
        <v>71</v>
      </c>
      <c r="B28" s="119" t="s">
        <v>73</v>
      </c>
      <c r="C28" s="119"/>
      <c r="D28" s="119"/>
      <c r="E28" s="136" t="s">
        <v>30</v>
      </c>
      <c r="F28" s="136"/>
      <c r="G28" s="136"/>
      <c r="H28" s="136"/>
      <c r="I28" s="136"/>
      <c r="J28" s="136"/>
      <c r="K28" s="136" t="s">
        <v>30</v>
      </c>
      <c r="L28" s="136"/>
      <c r="M28" s="39" t="s">
        <v>30</v>
      </c>
    </row>
    <row r="29" spans="1:13" ht="30.75" customHeight="1">
      <c r="A29" s="30" t="s">
        <v>72</v>
      </c>
      <c r="B29" s="164"/>
      <c r="C29" s="165"/>
      <c r="D29" s="166"/>
      <c r="E29" s="164"/>
      <c r="F29" s="165"/>
      <c r="G29" s="165"/>
      <c r="H29" s="165"/>
      <c r="I29" s="165"/>
      <c r="J29" s="166"/>
      <c r="K29" s="167"/>
      <c r="L29" s="167"/>
      <c r="M29" s="41"/>
    </row>
  </sheetData>
  <mergeCells count="29">
    <mergeCell ref="A6:M6"/>
    <mergeCell ref="B8:D8"/>
    <mergeCell ref="B9:D9"/>
    <mergeCell ref="B10:D10"/>
    <mergeCell ref="A20:C20"/>
    <mergeCell ref="B22:D22"/>
    <mergeCell ref="E22:J22"/>
    <mergeCell ref="K22:L22"/>
    <mergeCell ref="B23:D23"/>
    <mergeCell ref="E23:J23"/>
    <mergeCell ref="K23:L23"/>
    <mergeCell ref="B24:D24"/>
    <mergeCell ref="E24:J24"/>
    <mergeCell ref="K24:L24"/>
    <mergeCell ref="B25:D25"/>
    <mergeCell ref="E25:J25"/>
    <mergeCell ref="K25:L25"/>
    <mergeCell ref="B26:D26"/>
    <mergeCell ref="E26:J26"/>
    <mergeCell ref="K26:L26"/>
    <mergeCell ref="B27:D27"/>
    <mergeCell ref="E27:J27"/>
    <mergeCell ref="K27:L27"/>
    <mergeCell ref="B28:D28"/>
    <mergeCell ref="E28:J28"/>
    <mergeCell ref="K28:L28"/>
    <mergeCell ref="B29:D29"/>
    <mergeCell ref="E29:J29"/>
    <mergeCell ref="K29:L29"/>
  </mergeCells>
  <printOptions horizontalCentered="1"/>
  <pageMargins left="0.70866141732283505" right="0.70866141732283505" top="0.74803149606299202" bottom="0.74803149606299202" header="0.31496062992126" footer="0.31496062992126"/>
  <pageSetup paperSize="9" scale="78"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pageSetUpPr fitToPage="1"/>
  </sheetPr>
  <dimension ref="A1:Q37"/>
  <sheetViews>
    <sheetView zoomScale="70" zoomScaleNormal="70" workbookViewId="0">
      <selection activeCell="C21" sqref="C21"/>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7">
      <c r="A1" s="25" t="s">
        <v>0</v>
      </c>
      <c r="Q1" s="3" t="s">
        <v>1</v>
      </c>
    </row>
    <row r="2" spans="1:17">
      <c r="A2" s="25" t="s">
        <v>2</v>
      </c>
      <c r="Q2" s="3" t="s">
        <v>3</v>
      </c>
    </row>
    <row r="3" spans="1:17">
      <c r="A3" s="25" t="s">
        <v>24</v>
      </c>
      <c r="C3" s="3"/>
      <c r="D3" s="3"/>
      <c r="E3" s="3"/>
      <c r="F3" s="3"/>
      <c r="J3" s="3"/>
      <c r="L3" s="3"/>
      <c r="M3" s="3" t="s">
        <v>5</v>
      </c>
    </row>
    <row r="4" spans="1:17">
      <c r="A4" s="3"/>
      <c r="Q4" s="3"/>
    </row>
    <row r="6" spans="1:17" ht="32.1" customHeight="1">
      <c r="A6" s="107" t="s">
        <v>100</v>
      </c>
      <c r="B6" s="107"/>
      <c r="C6" s="107"/>
      <c r="D6" s="107"/>
      <c r="E6" s="107"/>
      <c r="F6" s="107"/>
      <c r="G6" s="107"/>
      <c r="H6" s="107"/>
      <c r="I6" s="107"/>
      <c r="J6" s="107"/>
      <c r="K6" s="107"/>
      <c r="L6" s="107"/>
      <c r="M6" s="107"/>
      <c r="N6" s="107"/>
      <c r="O6" s="107"/>
      <c r="P6" s="107"/>
      <c r="Q6" s="107"/>
    </row>
    <row r="8" spans="1:17">
      <c r="A8" s="26" t="s">
        <v>12</v>
      </c>
      <c r="B8" s="124" t="s">
        <v>13</v>
      </c>
      <c r="C8" s="124"/>
      <c r="D8" s="124"/>
      <c r="E8" s="7"/>
      <c r="F8" s="7"/>
      <c r="G8" s="7"/>
      <c r="H8" s="7"/>
      <c r="I8" s="7"/>
    </row>
    <row r="9" spans="1:17">
      <c r="A9" s="26" t="s">
        <v>14</v>
      </c>
      <c r="B9" s="124" t="s">
        <v>15</v>
      </c>
      <c r="C9" s="124"/>
      <c r="D9" s="124"/>
      <c r="E9" s="7"/>
      <c r="F9" s="7"/>
      <c r="G9" s="7"/>
      <c r="H9" s="7"/>
      <c r="I9" s="7"/>
    </row>
    <row r="10" spans="1:17">
      <c r="A10" s="27" t="s">
        <v>16</v>
      </c>
      <c r="B10" s="125">
        <v>0.8</v>
      </c>
      <c r="C10" s="125"/>
      <c r="D10" s="125"/>
      <c r="E10" s="11"/>
      <c r="F10" s="11"/>
      <c r="G10" s="11"/>
      <c r="H10" s="11"/>
      <c r="I10" s="11"/>
    </row>
    <row r="12" spans="1:17">
      <c r="A12" s="29" t="s">
        <v>17</v>
      </c>
      <c r="B12" s="29" t="s">
        <v>12</v>
      </c>
      <c r="C12" s="29" t="s">
        <v>14</v>
      </c>
      <c r="D12" s="29" t="s">
        <v>18</v>
      </c>
    </row>
    <row r="13" spans="1:17">
      <c r="A13" s="56" t="inlineStr">
        <is>
          <t>3/2026</t>
        </is>
      </c>
      <c r="B13" s="31">
        <f>SUMPRODUCT(--('معالجة مياه الكلي'!$C$9:$C$13&amp;""="1"))</f>
        <v>5</v>
      </c>
      <c r="C13" s="31">
        <f>SUMPRODUCT(--('معالجة مياه الكلي'!$C$9:$C$13&amp;""="1"))+SUMPRODUCT(--('معالجة مياه الكلي'!$C$9:$C$13&amp;""="0"))</f>
        <v>5</v>
      </c>
      <c r="D13" s="28">
        <f>IFERROR(B13/C13,"")</f>
        <v>1</v>
      </c>
    </row>
    <row r="14" spans="1:17">
      <c r="A14" s="56" t="inlineStr">
        <is>
          <t>6/2026</t>
        </is>
      </c>
      <c r="B14" s="31">
        <f>SUMPRODUCT(--('معالجة مياه الكلي'!$D$9:$D$13&amp;""="1"))</f>
        <v>5</v>
      </c>
      <c r="C14" s="31">
        <f>SUMPRODUCT(--('معالجة مياه الكلي'!$D$9:$D$13&amp;""="1"))+SUMPRODUCT(--('معالجة مياه الكلي'!$D$9:$D$13&amp;""="0"))</f>
        <v>5</v>
      </c>
      <c r="D14" s="28">
        <f>IFERROR(B14/C14,"")</f>
        <v>1</v>
      </c>
    </row>
    <row r="15" spans="1:17">
      <c r="A15" s="56" t="inlineStr">
        <is>
          <t>9/2026</t>
        </is>
      </c>
      <c r="B15" s="31">
        <f>SUMPRODUCT(--('معالجة مياه الكلي'!$E$9:$E$13&amp;""="1"))</f>
        <v>5</v>
      </c>
      <c r="C15" s="31">
        <f>SUMPRODUCT(--('معالجة مياه الكلي'!$E$9:$E$13&amp;""="1"))+SUMPRODUCT(--('معالجة مياه الكلي'!$E$9:$E$13&amp;""="0"))</f>
        <v>5</v>
      </c>
      <c r="D15" s="28">
        <f>IFERROR(B15/C15,"")</f>
        <v>1</v>
      </c>
    </row>
    <row r="16" spans="1:17">
      <c r="A16" s="27"/>
      <c r="B16" s="31"/>
      <c r="C16" s="31"/>
      <c r="D16" s="28" t="str">
        <f>IFERROR(B16/C16,"")</f>
        <v/>
      </c>
    </row>
    <row r="17" spans="1:13">
      <c r="A17" s="27"/>
      <c r="B17" s="31"/>
      <c r="C17" s="31"/>
      <c r="D17" s="28" t="str">
        <f>IFERROR(B17/C17,"")</f>
        <v/>
      </c>
    </row>
    <row r="18" spans="1:13">
      <c r="A18" s="27"/>
      <c r="B18" s="31"/>
      <c r="C18" s="31"/>
      <c r="D18" s="28" t="str">
        <f>IFERROR(B18/C18,"")</f>
        <v/>
      </c>
    </row>
    <row r="19" spans="1:13">
      <c r="A19" s="27"/>
      <c r="B19" s="31"/>
      <c r="C19" s="31"/>
      <c r="D19" s="28" t="str">
        <f>IFERROR(B19/C19,"")</f>
        <v/>
      </c>
    </row>
    <row r="20" spans="1:13">
      <c r="A20" s="56"/>
      <c r="B20" s="31"/>
      <c r="C20" s="31"/>
      <c r="D20" s="28" t="str">
        <f>IFERROR(B20/C20,"")</f>
        <v/>
      </c>
    </row>
    <row r="21" spans="1:13">
      <c r="A21" s="56"/>
      <c r="B21" s="31"/>
      <c r="C21" s="31"/>
      <c r="D21" s="28" t="str">
        <f>IFERROR(B21/C21,"")</f>
        <v/>
      </c>
    </row>
    <row r="22" spans="1:13">
      <c r="A22" s="56"/>
      <c r="B22" s="31"/>
      <c r="C22" s="31"/>
      <c r="D22" s="28" t="str">
        <f>IFERROR(B22/C22,"")</f>
        <v/>
      </c>
    </row>
    <row r="23" spans="1:13">
      <c r="A23" s="56"/>
      <c r="B23" s="31"/>
      <c r="C23" s="31"/>
      <c r="D23" s="28" t="str">
        <f>IFERROR(B23/C23,"")</f>
        <v/>
      </c>
    </row>
    <row r="24" spans="1:13">
      <c r="A24" s="140" t="s">
        <v>19</v>
      </c>
      <c r="B24" s="140"/>
      <c r="C24" s="140"/>
      <c r="D24" s="35">
        <f>AVERAGE(D13:D23)</f>
        <v>1</v>
      </c>
    </row>
    <row r="26" spans="1:13" ht="23.45" customHeight="1">
      <c r="A26" s="36" t="s">
        <v>17</v>
      </c>
      <c r="B26" s="129" t="s">
        <v>20</v>
      </c>
      <c r="C26" s="129"/>
      <c r="D26" s="129"/>
      <c r="E26" s="129" t="s">
        <v>21</v>
      </c>
      <c r="F26" s="129"/>
      <c r="G26" s="129"/>
      <c r="H26" s="129"/>
      <c r="I26" s="129"/>
      <c r="J26" s="129"/>
      <c r="K26" s="129" t="s">
        <v>22</v>
      </c>
      <c r="L26" s="129"/>
      <c r="M26" s="36" t="s">
        <v>23</v>
      </c>
    </row>
    <row r="27" spans="1:13">
      <c r="A27" s="27"/>
      <c r="B27" s="137"/>
      <c r="C27" s="137"/>
      <c r="D27" s="137"/>
      <c r="E27" s="137"/>
      <c r="F27" s="137"/>
      <c r="G27" s="137"/>
      <c r="H27" s="137"/>
      <c r="I27" s="137"/>
      <c r="J27" s="137"/>
      <c r="K27" s="137"/>
      <c r="L27" s="137"/>
      <c r="M27" s="37"/>
    </row>
    <row r="28" spans="1:13">
      <c r="A28" s="72"/>
      <c r="B28" s="136"/>
      <c r="C28" s="136"/>
      <c r="D28" s="136"/>
      <c r="E28" s="136"/>
      <c r="F28" s="136"/>
      <c r="G28" s="136"/>
      <c r="H28" s="136"/>
      <c r="I28" s="136"/>
      <c r="J28" s="136"/>
      <c r="K28" s="136"/>
      <c r="L28" s="136"/>
      <c r="M28" s="39"/>
    </row>
    <row r="29" spans="1:13">
      <c r="A29" s="27"/>
      <c r="B29" s="137"/>
      <c r="C29" s="137"/>
      <c r="D29" s="137"/>
      <c r="E29" s="137"/>
      <c r="F29" s="137"/>
      <c r="G29" s="137"/>
      <c r="H29" s="137"/>
      <c r="I29" s="137"/>
      <c r="J29" s="137"/>
      <c r="K29" s="137"/>
      <c r="L29" s="137"/>
      <c r="M29" s="37"/>
    </row>
    <row r="30" spans="1:13">
      <c r="A30" s="72"/>
      <c r="B30" s="136"/>
      <c r="C30" s="136"/>
      <c r="D30" s="136"/>
      <c r="E30" s="136"/>
      <c r="F30" s="136"/>
      <c r="G30" s="136"/>
      <c r="H30" s="136"/>
      <c r="I30" s="136"/>
      <c r="J30" s="136"/>
      <c r="K30" s="136"/>
      <c r="L30" s="136"/>
      <c r="M30" s="39"/>
    </row>
    <row r="31" spans="1:13">
      <c r="A31" s="27"/>
      <c r="B31" s="137"/>
      <c r="C31" s="137"/>
      <c r="D31" s="137"/>
      <c r="E31" s="137"/>
      <c r="F31" s="137"/>
      <c r="G31" s="137"/>
      <c r="H31" s="137"/>
      <c r="I31" s="137"/>
      <c r="J31" s="137"/>
      <c r="K31" s="137"/>
      <c r="L31" s="137"/>
      <c r="M31" s="37"/>
    </row>
    <row r="32" spans="1:13">
      <c r="A32" s="72"/>
      <c r="B32" s="136"/>
      <c r="C32" s="136"/>
      <c r="D32" s="136"/>
      <c r="E32" s="136"/>
      <c r="F32" s="136"/>
      <c r="G32" s="136"/>
      <c r="H32" s="136"/>
      <c r="I32" s="136"/>
      <c r="J32" s="136"/>
      <c r="K32" s="136"/>
      <c r="L32" s="136"/>
      <c r="M32" s="39"/>
    </row>
    <row r="33" spans="1:13">
      <c r="A33" s="27"/>
      <c r="B33" s="137"/>
      <c r="C33" s="137"/>
      <c r="D33" s="137"/>
      <c r="E33" s="137"/>
      <c r="F33" s="137"/>
      <c r="G33" s="137"/>
      <c r="H33" s="137"/>
      <c r="I33" s="137"/>
      <c r="J33" s="137"/>
      <c r="K33" s="137"/>
      <c r="L33" s="137"/>
      <c r="M33" s="37"/>
    </row>
    <row r="34" spans="1:13">
      <c r="A34" s="73"/>
      <c r="B34" s="136"/>
      <c r="C34" s="136"/>
      <c r="D34" s="136"/>
      <c r="E34" s="136"/>
      <c r="F34" s="136"/>
      <c r="G34" s="136"/>
      <c r="H34" s="136"/>
      <c r="I34" s="136"/>
      <c r="J34" s="136"/>
      <c r="K34" s="136"/>
      <c r="L34" s="136"/>
      <c r="M34" s="39"/>
    </row>
    <row r="35" spans="1:13">
      <c r="A35" s="56"/>
      <c r="B35" s="137"/>
      <c r="C35" s="137"/>
      <c r="D35" s="137"/>
      <c r="E35" s="137"/>
      <c r="F35" s="137"/>
      <c r="G35" s="137"/>
      <c r="H35" s="137"/>
      <c r="I35" s="137"/>
      <c r="J35" s="137"/>
      <c r="K35" s="137"/>
      <c r="L35" s="137"/>
      <c r="M35" s="37"/>
    </row>
    <row r="36" spans="1:13">
      <c r="A36" s="73"/>
      <c r="B36" s="136"/>
      <c r="C36" s="136"/>
      <c r="D36" s="136"/>
      <c r="E36" s="136"/>
      <c r="F36" s="136"/>
      <c r="G36" s="136"/>
      <c r="H36" s="136"/>
      <c r="I36" s="136"/>
      <c r="J36" s="136"/>
      <c r="K36" s="136"/>
      <c r="L36" s="136"/>
      <c r="M36" s="39"/>
    </row>
    <row r="37" spans="1:13">
      <c r="A37" s="56"/>
      <c r="B37" s="137"/>
      <c r="C37" s="137"/>
      <c r="D37" s="137"/>
      <c r="E37" s="137"/>
      <c r="F37" s="137"/>
      <c r="G37" s="137"/>
      <c r="H37" s="137"/>
      <c r="I37" s="137"/>
      <c r="J37" s="137"/>
      <c r="K37" s="137"/>
      <c r="L37" s="137"/>
      <c r="M37" s="37"/>
    </row>
  </sheetData>
  <mergeCells count="41">
    <mergeCell ref="A6:Q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2"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pageSetUpPr fitToPage="1"/>
  </sheetPr>
  <dimension ref="A1:P14"/>
  <sheetViews>
    <sheetView zoomScale="70" zoomScaleNormal="70"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9" width="8.85546875" style="1"/>
    <col min="10" max="10" width="10.42578125" style="1" customWidth="1"/>
    <col min="11" max="11" width="8.85546875" style="1"/>
    <col min="12" max="12" width="10.42578125" style="1" customWidth="1"/>
    <col min="13" max="16384" width="8.85546875" style="1"/>
  </cols>
  <sheetData>
    <row r="1" spans="1:16">
      <c r="A1" s="25"/>
      <c r="B1" s="25" t="s">
        <v>0</v>
      </c>
      <c r="C1" s="3"/>
      <c r="D1" s="3"/>
      <c r="E1" s="3"/>
      <c r="F1" s="3"/>
      <c r="G1" s="3"/>
      <c r="M1" s="3" t="s">
        <v>1</v>
      </c>
    </row>
    <row r="2" spans="1:16">
      <c r="A2" s="25"/>
      <c r="B2" s="25" t="s">
        <v>2</v>
      </c>
      <c r="C2" s="3"/>
      <c r="D2" s="3"/>
      <c r="E2" s="3"/>
      <c r="F2" s="3"/>
      <c r="G2" s="3"/>
      <c r="M2" s="3" t="s">
        <v>3</v>
      </c>
    </row>
    <row r="3" spans="1:16">
      <c r="A3" s="25"/>
      <c r="B3" s="25" t="s">
        <v>24</v>
      </c>
      <c r="C3" s="3"/>
      <c r="D3" s="3"/>
      <c r="E3" s="3"/>
      <c r="F3" s="3"/>
      <c r="J3" s="3"/>
      <c r="L3" s="3"/>
      <c r="M3" s="3" t="s">
        <v>5</v>
      </c>
    </row>
    <row r="4" spans="1:16">
      <c r="A4" s="3"/>
      <c r="C4" s="3"/>
      <c r="D4" s="3"/>
      <c r="E4" s="3"/>
      <c r="F4" s="3"/>
      <c r="G4" s="3"/>
      <c r="J4" s="3"/>
      <c r="L4" s="3"/>
    </row>
    <row r="5" spans="1:16">
      <c r="C5" s="42"/>
      <c r="D5" s="42"/>
      <c r="E5" s="42"/>
      <c r="F5" s="42"/>
      <c r="G5" s="42"/>
      <c r="J5" s="42"/>
      <c r="L5" s="42"/>
    </row>
    <row r="6" spans="1:16" ht="30" customHeight="1">
      <c r="A6" s="106" t="s">
        <v>105</v>
      </c>
      <c r="B6" s="107"/>
      <c r="C6" s="107"/>
      <c r="D6" s="107"/>
      <c r="E6" s="107"/>
      <c r="F6" s="107"/>
      <c r="G6" s="107"/>
      <c r="H6" s="107"/>
      <c r="I6" s="107"/>
      <c r="J6" s="107"/>
      <c r="K6" s="107"/>
      <c r="L6" s="107"/>
      <c r="M6" s="107"/>
      <c r="N6" s="47"/>
      <c r="O6" s="47"/>
      <c r="P6" s="47"/>
    </row>
    <row r="7" spans="1:16" ht="24.95" customHeight="1">
      <c r="A7" s="135" t="s">
        <v>7</v>
      </c>
      <c r="B7" s="135" t="s">
        <v>8</v>
      </c>
      <c r="C7" s="139" t="s">
        <v>26</v>
      </c>
      <c r="D7" s="138"/>
      <c r="E7" s="138"/>
      <c r="F7" s="138"/>
      <c r="G7" s="138"/>
      <c r="H7" s="138"/>
      <c r="I7" s="138"/>
      <c r="J7" s="138"/>
      <c r="K7" s="138"/>
      <c r="L7" s="138"/>
      <c r="M7" s="138"/>
    </row>
    <row r="8" spans="1:16" ht="24.95" customHeight="1">
      <c r="A8" s="135"/>
      <c r="B8" s="135"/>
      <c r="C8" s="43" t="s">
        <v>177</v>
      </c>
      <c r="D8" s="43" t="s">
        <v>179</v>
      </c>
      <c r="E8" s="43" t="s">
        <v>178</v>
      </c>
      <c r="F8" s="43" t="s">
        <v>180</v>
      </c>
      <c r="G8" s="43"/>
      <c r="H8" s="43"/>
      <c r="I8" s="43"/>
      <c r="J8" s="43"/>
      <c r="K8" s="43"/>
      <c r="L8" s="43"/>
      <c r="M8" s="43"/>
    </row>
    <row r="9" spans="1:16" ht="20.100000000000001" customHeight="1">
      <c r="A9" s="26">
        <v>1</v>
      </c>
      <c r="B9" s="44" t="s">
        <v>79</v>
      </c>
      <c r="C9" s="26">
        <v>1</v>
      </c>
      <c r="D9" s="26">
        <v>1</v>
      </c>
      <c r="E9" s="26">
        <v>1</v>
      </c>
      <c r="F9" s="26"/>
      <c r="G9" s="26"/>
      <c r="H9" s="26"/>
      <c r="I9" s="26"/>
      <c r="J9" s="26"/>
      <c r="K9" s="26"/>
      <c r="L9" s="26"/>
      <c r="M9" s="26"/>
    </row>
    <row r="10" spans="1:16" ht="36" customHeight="1">
      <c r="A10" s="27">
        <v>2</v>
      </c>
      <c r="B10" s="45" t="s">
        <v>80</v>
      </c>
      <c r="C10" s="26">
        <v>1</v>
      </c>
      <c r="D10" s="26">
        <v>1</v>
      </c>
      <c r="E10" s="26">
        <v>1</v>
      </c>
      <c r="F10" s="26"/>
      <c r="G10" s="27"/>
      <c r="H10" s="27"/>
      <c r="I10" s="27"/>
      <c r="J10" s="27"/>
      <c r="K10" s="27"/>
      <c r="L10" s="27"/>
      <c r="M10" s="27"/>
    </row>
    <row r="11" spans="1:16" ht="25.5">
      <c r="A11" s="26">
        <v>3</v>
      </c>
      <c r="B11" s="45" t="s">
        <v>106</v>
      </c>
      <c r="C11" s="26">
        <v>1</v>
      </c>
      <c r="D11" s="26">
        <v>1</v>
      </c>
      <c r="E11" s="26">
        <v>1</v>
      </c>
      <c r="F11" s="26"/>
      <c r="G11" s="26"/>
      <c r="H11" s="26"/>
      <c r="I11" s="26"/>
      <c r="J11" s="26"/>
      <c r="K11" s="26"/>
      <c r="L11" s="26"/>
      <c r="M11" s="26"/>
    </row>
    <row r="12" spans="1:16" ht="20.100000000000001" customHeight="1">
      <c r="A12" s="27">
        <v>4</v>
      </c>
      <c r="B12" s="45" t="s">
        <v>82</v>
      </c>
      <c r="C12" s="26">
        <v>1</v>
      </c>
      <c r="D12" s="26">
        <v>1</v>
      </c>
      <c r="E12" s="26">
        <v>1</v>
      </c>
      <c r="F12" s="26"/>
      <c r="G12" s="27"/>
      <c r="H12" s="27"/>
      <c r="I12" s="27"/>
      <c r="J12" s="27"/>
      <c r="K12" s="27"/>
      <c r="L12" s="27"/>
      <c r="M12" s="27"/>
    </row>
    <row r="13" spans="1:16" ht="25.5">
      <c r="A13" s="26">
        <v>5</v>
      </c>
      <c r="B13" s="44" t="s">
        <v>83</v>
      </c>
      <c r="C13" s="26">
        <v>1</v>
      </c>
      <c r="D13" s="26">
        <v>1</v>
      </c>
      <c r="E13" s="26">
        <v>1</v>
      </c>
      <c r="F13" s="26"/>
      <c r="G13" s="26"/>
      <c r="H13" s="26"/>
      <c r="I13" s="26"/>
      <c r="J13" s="26"/>
      <c r="K13" s="26"/>
      <c r="L13" s="26"/>
      <c r="M13" s="26"/>
    </row>
    <row r="14" spans="1:16" ht="20.100000000000001" customHeight="1">
      <c r="A14" s="108" t="s">
        <v>10</v>
      </c>
      <c r="B14" s="108"/>
      <c r="C14" s="46">
        <f>AVERAGE(C9:C13)</f>
        <v>1</v>
      </c>
      <c r="D14" s="46">
        <v>1</v>
      </c>
      <c r="E14" s="46">
        <v>1</v>
      </c>
      <c r="F14" s="46" t="e">
        <f>AVERAGE(F9:F13)</f>
        <v>#DIV/0!</v>
      </c>
      <c r="G14" s="46" t="str">
        <f>IFERROR(AVERAGE(G9:G13),"-")</f>
        <v>-</v>
      </c>
      <c r="H14" s="46" t="str">
        <f>IFERROR(AVERAGE(H9:H13),"-")</f>
        <v>-</v>
      </c>
      <c r="I14" s="46" t="str">
        <f>IFERROR(AVERAGE(I9:I13),"-")</f>
        <v>-</v>
      </c>
      <c r="J14" s="46" t="str">
        <f>IFERROR(AVERAGE(J9:J13),"-")</f>
        <v>-</v>
      </c>
      <c r="K14" s="46" t="str">
        <f>IFERROR(AVERAGE(K9:K13),"-")</f>
        <v>-</v>
      </c>
      <c r="L14" s="46" t="e">
        <f>AVERAGE(L9:L13)</f>
        <v>#DIV/0!</v>
      </c>
      <c r="M14" s="46" t="e">
        <f>AVERAGE(M9:M13)</f>
        <v>#DIV/0!</v>
      </c>
    </row>
  </sheetData>
  <mergeCells count="5">
    <mergeCell ref="A6:M6"/>
    <mergeCell ref="C7:M7"/>
    <mergeCell ref="A14:B14"/>
    <mergeCell ref="A7:A8"/>
    <mergeCell ref="B7:B8"/>
  </mergeCells>
  <pageMargins left="0.7" right="0.7" top="0.75" bottom="0.75" header="0.3" footer="0.3"/>
  <pageSetup paperSize="9" scale="85"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D2B7D395-1433-4EE1-A607-FDFD4365CCA9}">
            <xm:f>NOT(ISERROR(SEARCH(0,C9)))</xm:f>
            <xm:f>0</xm:f>
            <x14:dxf>
              <font>
                <color theme="0"/>
              </font>
              <fill>
                <patternFill patternType="solid">
                  <bgColor rgb="FFC00000"/>
                </patternFill>
              </fill>
            </x14:dxf>
          </x14:cfRule>
          <xm:sqref>C9:M13</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pageSetUpPr fitToPage="1"/>
  </sheetPr>
  <dimension ref="A1:M37"/>
  <sheetViews>
    <sheetView topLeftCell="A5" zoomScale="70" zoomScaleNormal="70" workbookViewId="0">
      <selection activeCell="B16" sqref="B16"/>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105</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49" t="inlineStr">
        <is>
          <t>3/2026</t>
        </is>
      </c>
      <c r="B13" s="58">
        <f>SUMPRODUCT(--(' جهاز الرنين'!$C$9:$C$13&amp;""="1"))</f>
        <v>5</v>
      </c>
      <c r="C13" s="58">
        <f>SUMPRODUCT(--(' جهاز الرنين'!$C$9:$C$13&amp;""="1"))+SUMPRODUCT(--(' جهاز الرنين'!$C$9:$C$13&amp;""="0"))</f>
        <v>5</v>
      </c>
      <c r="D13" s="59">
        <f>IFERROR(B13/C13,"")</f>
        <v>1</v>
      </c>
    </row>
    <row r="14" spans="1:13">
      <c r="A14" s="49" t="inlineStr">
        <is>
          <t>6/2026</t>
        </is>
      </c>
      <c r="B14" s="58">
        <f>SUMPRODUCT(--(' جهاز الرنين'!$D$9:$D$13&amp;""="1"))</f>
        <v>5</v>
      </c>
      <c r="C14" s="58">
        <f>SUMPRODUCT(--(' جهاز الرنين'!$D$9:$D$13&amp;""="1"))+SUMPRODUCT(--(' جهاز الرنين'!$D$9:$D$13&amp;""="0"))</f>
        <v>5</v>
      </c>
      <c r="D14" s="59">
        <f>IFERROR(B14/C14,"")</f>
        <v>1</v>
      </c>
    </row>
    <row r="15" spans="1:13">
      <c r="A15" s="49" t="inlineStr">
        <is>
          <t>9/2026</t>
        </is>
      </c>
      <c r="B15" s="58">
        <f>SUMPRODUCT(--(' جهاز الرنين'!$E$9:$E$13&amp;""="1"))</f>
        <v>5</v>
      </c>
      <c r="C15" s="58">
        <f>SUMPRODUCT(--(' جهاز الرنين'!$E$9:$E$13&amp;""="1"))+SUMPRODUCT(--(' جهاز الرنين'!$E$9:$E$13&amp;""="0"))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40" t="s">
        <v>19</v>
      </c>
      <c r="B24" s="140"/>
      <c r="C24" s="140"/>
      <c r="D24" s="35">
        <f>AVERAGE(D13:D23)</f>
        <v>1</v>
      </c>
    </row>
    <row r="25" spans="1:13">
      <c r="E25" s="1" t="s">
        <v>75</v>
      </c>
    </row>
    <row r="26" spans="1:13" ht="23.45" customHeight="1">
      <c r="A26" s="36" t="s">
        <v>17</v>
      </c>
      <c r="B26" s="130" t="s">
        <v>20</v>
      </c>
      <c r="C26" s="131"/>
      <c r="D26" s="132"/>
      <c r="E26" s="129" t="s">
        <v>21</v>
      </c>
      <c r="F26" s="129"/>
      <c r="G26" s="129"/>
      <c r="H26" s="129"/>
      <c r="I26" s="129"/>
      <c r="J26" s="129"/>
      <c r="K26" s="129" t="s">
        <v>22</v>
      </c>
      <c r="L26" s="129"/>
      <c r="M26" s="36" t="s">
        <v>23</v>
      </c>
    </row>
    <row r="27" spans="1:13" ht="38.450000000000003" customHeight="1">
      <c r="A27" s="30"/>
      <c r="B27" s="137"/>
      <c r="C27" s="137"/>
      <c r="D27" s="137"/>
      <c r="E27" s="137"/>
      <c r="F27" s="137"/>
      <c r="G27" s="137"/>
      <c r="H27" s="137"/>
      <c r="I27" s="137"/>
      <c r="J27" s="137"/>
      <c r="K27" s="137"/>
      <c r="L27" s="137"/>
      <c r="M27" s="37"/>
    </row>
    <row r="28" spans="1:13" ht="41.45" customHeight="1">
      <c r="A28" s="32"/>
      <c r="B28" s="119"/>
      <c r="C28" s="119"/>
      <c r="D28" s="119"/>
      <c r="E28" s="136"/>
      <c r="F28" s="136"/>
      <c r="G28" s="136"/>
      <c r="H28" s="136"/>
      <c r="I28" s="136"/>
      <c r="J28" s="136"/>
      <c r="K28" s="136"/>
      <c r="L28" s="136"/>
      <c r="M28" s="39"/>
    </row>
    <row r="29" spans="1:13" ht="44.1" customHeight="1">
      <c r="A29" s="30"/>
      <c r="B29" s="137"/>
      <c r="C29" s="137"/>
      <c r="D29" s="137"/>
      <c r="E29" s="137"/>
      <c r="F29" s="137"/>
      <c r="G29" s="137"/>
      <c r="H29" s="137"/>
      <c r="I29" s="137"/>
      <c r="J29" s="137"/>
      <c r="K29" s="137"/>
      <c r="L29" s="137"/>
      <c r="M29" s="37"/>
    </row>
    <row r="30" spans="1:13" ht="39" customHeight="1">
      <c r="A30" s="32"/>
      <c r="B30" s="119"/>
      <c r="C30" s="119"/>
      <c r="D30" s="119"/>
      <c r="E30" s="136"/>
      <c r="F30" s="136"/>
      <c r="G30" s="136"/>
      <c r="H30" s="136"/>
      <c r="I30" s="136"/>
      <c r="J30" s="136"/>
      <c r="K30" s="136"/>
      <c r="L30" s="136"/>
      <c r="M30" s="39"/>
    </row>
    <row r="31" spans="1:13" ht="44.45" customHeight="1">
      <c r="A31" s="30"/>
      <c r="B31" s="137"/>
      <c r="C31" s="137"/>
      <c r="D31" s="137"/>
      <c r="E31" s="137"/>
      <c r="F31" s="137"/>
      <c r="G31" s="137"/>
      <c r="H31" s="137"/>
      <c r="I31" s="137"/>
      <c r="J31" s="137"/>
      <c r="K31" s="137"/>
      <c r="L31" s="137"/>
      <c r="M31" s="37"/>
    </row>
    <row r="32" spans="1:13" ht="36" customHeight="1">
      <c r="A32" s="32"/>
      <c r="B32" s="119"/>
      <c r="C32" s="119"/>
      <c r="D32" s="119"/>
      <c r="E32" s="136"/>
      <c r="F32" s="136"/>
      <c r="G32" s="136"/>
      <c r="H32" s="136"/>
      <c r="I32" s="136"/>
      <c r="J32" s="136"/>
      <c r="K32" s="136"/>
      <c r="L32" s="136"/>
      <c r="M32" s="39"/>
    </row>
    <row r="33" spans="1:13" ht="35.25" customHeight="1">
      <c r="A33" s="30"/>
      <c r="B33" s="164"/>
      <c r="C33" s="165"/>
      <c r="D33" s="166"/>
      <c r="E33" s="164"/>
      <c r="F33" s="165"/>
      <c r="G33" s="165"/>
      <c r="H33" s="165"/>
      <c r="I33" s="165"/>
      <c r="J33" s="166"/>
      <c r="K33" s="167"/>
      <c r="L33" s="167"/>
      <c r="M33" s="41"/>
    </row>
    <row r="34" spans="1:13" ht="39" customHeight="1">
      <c r="A34" s="55"/>
      <c r="B34" s="119"/>
      <c r="C34" s="119"/>
      <c r="D34" s="119"/>
      <c r="E34" s="136"/>
      <c r="F34" s="136"/>
      <c r="G34" s="136"/>
      <c r="H34" s="136"/>
      <c r="I34" s="136"/>
      <c r="J34" s="136"/>
      <c r="K34" s="136"/>
      <c r="L34" s="136"/>
      <c r="M34" s="39"/>
    </row>
    <row r="35" spans="1:13" ht="44.45" customHeight="1">
      <c r="A35" s="49"/>
      <c r="B35" s="137"/>
      <c r="C35" s="137"/>
      <c r="D35" s="137"/>
      <c r="E35" s="137"/>
      <c r="F35" s="137"/>
      <c r="G35" s="137"/>
      <c r="H35" s="137"/>
      <c r="I35" s="137"/>
      <c r="J35" s="137"/>
      <c r="K35" s="137"/>
      <c r="L35" s="137"/>
      <c r="M35" s="37"/>
    </row>
    <row r="36" spans="1:13" ht="36" customHeight="1">
      <c r="A36" s="55"/>
      <c r="B36" s="119"/>
      <c r="C36" s="119"/>
      <c r="D36" s="119"/>
      <c r="E36" s="136"/>
      <c r="F36" s="136"/>
      <c r="G36" s="136"/>
      <c r="H36" s="136"/>
      <c r="I36" s="136"/>
      <c r="J36" s="136"/>
      <c r="K36" s="136"/>
      <c r="L36" s="136"/>
      <c r="M36" s="39"/>
    </row>
    <row r="37" spans="1:13" ht="44.45" customHeight="1">
      <c r="A37" s="49"/>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7"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pageSetUpPr fitToPage="1"/>
  </sheetPr>
  <dimension ref="A1:O14"/>
  <sheetViews>
    <sheetView zoomScale="70" zoomScaleNormal="70"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6" t="s">
        <v>107</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7">
        <v>1</v>
      </c>
      <c r="D10" s="26">
        <v>1</v>
      </c>
      <c r="E10" s="26">
        <v>1</v>
      </c>
      <c r="F10" s="27"/>
      <c r="G10" s="27"/>
      <c r="H10" s="27"/>
      <c r="I10" s="27"/>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7">
        <v>1</v>
      </c>
      <c r="D12" s="26">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v>1</v>
      </c>
      <c r="E14" s="46">
        <v>1</v>
      </c>
      <c r="F14" s="46" t="e">
        <f>AVERAGE(F9:F13)</f>
        <v>#DIV/0!</v>
      </c>
      <c r="G14" s="46" t="str">
        <f>IFERROR(AVERAGE(G9:G13),"-")</f>
        <v>-</v>
      </c>
      <c r="H14" s="46" t="str">
        <f t="shared" ref="H14" si="0">IFERROR(AVERAGE(H9:H13),"-")</f>
        <v>-</v>
      </c>
      <c r="I14" s="46" t="e">
        <f>AVERAGE(I9:I13)</f>
        <v>#DIV/0!</v>
      </c>
      <c r="J14" s="46" t="e">
        <f>AVERAGE(J9:J13)</f>
        <v>#DIV/0!</v>
      </c>
      <c r="K14" s="46" t="e">
        <f>AVERAGE(K9:K13)</f>
        <v>#DIV/0!</v>
      </c>
      <c r="L14" s="46" t="str">
        <f>IFERROR(AVERAGE(L9:L13),"-")</f>
        <v>-</v>
      </c>
      <c r="M14" s="46" t="str">
        <f t="shared" ref="M14" si="1">IFERROR(AVERAGE(M9:M13),"-")</f>
        <v>-</v>
      </c>
    </row>
  </sheetData>
  <mergeCells count="5">
    <mergeCell ref="A6:M6"/>
    <mergeCell ref="C7:M7"/>
    <mergeCell ref="A14:B14"/>
    <mergeCell ref="A7:A8"/>
    <mergeCell ref="B7:B8"/>
  </mergeCells>
  <pageMargins left="0.7" right="0.7" top="0.75" bottom="0.75" header="0.3" footer="0.3"/>
  <pageSetup paperSize="9" scale="85"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9E94CD0C-4AD6-413B-92BC-F58FB74F42F3}">
            <xm:f>NOT(ISERROR(SEARCH(0,C9)))</xm:f>
            <xm:f>0</xm:f>
            <x14:dxf>
              <font>
                <color theme="0"/>
              </font>
              <fill>
                <patternFill patternType="solid">
                  <bgColor rgb="FFC00000"/>
                </patternFill>
              </fill>
            </x14:dxf>
          </x14:cfRule>
          <xm:sqref>C9:M13</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pageSetUpPr fitToPage="1"/>
  </sheetPr>
  <dimension ref="A1:Y37"/>
  <sheetViews>
    <sheetView topLeftCell="A4" zoomScale="85" zoomScaleNormal="85" workbookViewId="0">
      <selection activeCell="C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112</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52" t="inlineStr">
        <is>
          <t>3/2026</t>
        </is>
      </c>
      <c r="B13" s="58">
        <f>SUMPRODUCT(--('صيانة اشعه عاديه'!$C$9:$C$13&amp;""="1"))</f>
        <v>5</v>
      </c>
      <c r="C13" s="58">
        <f>SUMPRODUCT(--('صيانة اشعه عاديه'!$C$9:$C$13&amp;""="1"))+SUMPRODUCT(--('صيانة اشعه عاديه'!$C$9:$C$13&amp;""="0"))</f>
        <v>5</v>
      </c>
      <c r="D13" s="59">
        <f>IFERROR(B13/C13,"")</f>
        <v>1</v>
      </c>
    </row>
    <row r="14" spans="1:13">
      <c r="A14" s="52" t="inlineStr">
        <is>
          <t>6/2026</t>
        </is>
      </c>
      <c r="B14" s="58">
        <f>SUMPRODUCT(--('صيانة اشعه عاديه'!$D$9:$D$13&amp;""="1"))</f>
        <v>5</v>
      </c>
      <c r="C14" s="58">
        <f>SUMPRODUCT(--('صيانة اشعه عاديه'!$D$9:$D$13&amp;""="1"))+SUMPRODUCT(--('صيانة اشعه عاديه'!$D$9:$D$13&amp;""="0"))</f>
        <v>5</v>
      </c>
      <c r="D14" s="59">
        <f>IFERROR(B14/C14,"")</f>
        <v>1</v>
      </c>
    </row>
    <row r="15" spans="1:13">
      <c r="A15" s="52" t="inlineStr">
        <is>
          <t>9/2026</t>
        </is>
      </c>
      <c r="B15" s="58">
        <f>SUMPRODUCT(--('صيانة اشعه عاديه'!$E$9:$E$13&amp;""="1"))</f>
        <v>5</v>
      </c>
      <c r="C15" s="58">
        <f>SUMPRODUCT(--('صيانة اشعه عاديه'!$E$9:$E$13&amp;""="1"))+SUMPRODUCT(--('صيانة اشعه عاديه'!$E$9:$E$13&amp;""="0"))</f>
        <v>5</v>
      </c>
      <c r="D15" s="59">
        <f>IFERROR(B15/C15,"")</f>
        <v>1</v>
      </c>
    </row>
    <row r="16" spans="1:13">
      <c r="A16" s="51"/>
      <c r="B16" s="58"/>
      <c r="C16" s="58"/>
      <c r="D16" s="59" t="str">
        <f>IFERROR(B16/C16,"")</f>
        <v/>
      </c>
    </row>
    <row r="17" spans="1:25">
      <c r="A17" s="51"/>
      <c r="B17" s="58"/>
      <c r="C17" s="58"/>
      <c r="D17" s="59" t="str">
        <f>IFERROR(B17/C17,"")</f>
        <v/>
      </c>
      <c r="Y17" s="1" t="s">
        <v>75</v>
      </c>
    </row>
    <row r="18" spans="1:25">
      <c r="A18" s="51"/>
      <c r="B18" s="58"/>
      <c r="C18" s="58"/>
      <c r="D18" s="59" t="str">
        <f>IFERROR(B18/C18,"")</f>
        <v/>
      </c>
    </row>
    <row r="19" spans="1:25">
      <c r="A19" s="51"/>
      <c r="B19" s="58"/>
      <c r="C19" s="58"/>
      <c r="D19" s="59" t="str">
        <f>IFERROR(B19/C19,"")</f>
        <v/>
      </c>
    </row>
    <row r="20" spans="1:25">
      <c r="A20" s="52"/>
      <c r="B20" s="58"/>
      <c r="C20" s="58"/>
      <c r="D20" s="59" t="str">
        <f>IFERROR(B20/C20,"")</f>
        <v/>
      </c>
    </row>
    <row r="21" spans="1:25">
      <c r="A21" s="52"/>
      <c r="B21" s="58"/>
      <c r="C21" s="58"/>
      <c r="D21" s="59" t="str">
        <f>IFERROR(B21/C21,"")</f>
        <v/>
      </c>
    </row>
    <row r="22" spans="1:25">
      <c r="A22" s="52"/>
      <c r="B22" s="58"/>
      <c r="C22" s="58"/>
      <c r="D22" s="59" t="str">
        <f>IFERROR(B22/C22,"")</f>
        <v/>
      </c>
    </row>
    <row r="23" spans="1:25">
      <c r="A23" s="52"/>
      <c r="B23" s="58"/>
      <c r="C23" s="58"/>
      <c r="D23" s="59" t="str">
        <f>IFERROR(B23/C23,"")</f>
        <v/>
      </c>
    </row>
    <row r="24" spans="1:25">
      <c r="A24" s="140" t="s">
        <v>19</v>
      </c>
      <c r="B24" s="140"/>
      <c r="C24" s="140"/>
      <c r="D24" s="35">
        <f>AVERAGE(D13:D23)</f>
        <v>1</v>
      </c>
    </row>
    <row r="25" spans="1:25">
      <c r="E25" s="1" t="s">
        <v>75</v>
      </c>
    </row>
    <row r="26" spans="1:25" ht="23.45" customHeight="1">
      <c r="A26" s="36" t="s">
        <v>17</v>
      </c>
      <c r="B26" s="130" t="s">
        <v>20</v>
      </c>
      <c r="C26" s="131"/>
      <c r="D26" s="132"/>
      <c r="E26" s="129" t="s">
        <v>21</v>
      </c>
      <c r="F26" s="129"/>
      <c r="G26" s="129"/>
      <c r="H26" s="129"/>
      <c r="I26" s="129"/>
      <c r="J26" s="129"/>
      <c r="K26" s="129" t="s">
        <v>22</v>
      </c>
      <c r="L26" s="129"/>
      <c r="M26" s="36" t="s">
        <v>23</v>
      </c>
    </row>
    <row r="27" spans="1:25" ht="38.450000000000003" customHeight="1">
      <c r="A27" s="30"/>
      <c r="B27" s="137"/>
      <c r="C27" s="137"/>
      <c r="D27" s="137"/>
      <c r="E27" s="137"/>
      <c r="F27" s="137"/>
      <c r="G27" s="137"/>
      <c r="H27" s="137"/>
      <c r="I27" s="137"/>
      <c r="J27" s="137"/>
      <c r="K27" s="137"/>
      <c r="L27" s="137"/>
      <c r="M27" s="37"/>
    </row>
    <row r="28" spans="1:25" ht="41.45" customHeight="1">
      <c r="A28" s="32"/>
      <c r="B28" s="119"/>
      <c r="C28" s="119"/>
      <c r="D28" s="119"/>
      <c r="E28" s="136"/>
      <c r="F28" s="136"/>
      <c r="G28" s="136"/>
      <c r="H28" s="136"/>
      <c r="I28" s="136"/>
      <c r="J28" s="136"/>
      <c r="K28" s="136"/>
      <c r="L28" s="136"/>
      <c r="M28" s="39"/>
    </row>
    <row r="29" spans="1:25" ht="44.1" customHeight="1">
      <c r="A29" s="30"/>
      <c r="B29" s="137"/>
      <c r="C29" s="137"/>
      <c r="D29" s="137"/>
      <c r="E29" s="137"/>
      <c r="F29" s="137"/>
      <c r="G29" s="137"/>
      <c r="H29" s="137"/>
      <c r="I29" s="137"/>
      <c r="J29" s="137"/>
      <c r="K29" s="137"/>
      <c r="L29" s="137"/>
      <c r="M29" s="37"/>
    </row>
    <row r="30" spans="1:25" ht="39" customHeight="1">
      <c r="A30" s="32"/>
      <c r="B30" s="119"/>
      <c r="C30" s="119"/>
      <c r="D30" s="119"/>
      <c r="E30" s="136"/>
      <c r="F30" s="136"/>
      <c r="G30" s="136"/>
      <c r="H30" s="136"/>
      <c r="I30" s="136"/>
      <c r="J30" s="136"/>
      <c r="K30" s="136"/>
      <c r="L30" s="136"/>
      <c r="M30" s="39"/>
    </row>
    <row r="31" spans="1:25" ht="44.45" customHeight="1">
      <c r="A31" s="30"/>
      <c r="B31" s="137"/>
      <c r="C31" s="137"/>
      <c r="D31" s="137"/>
      <c r="E31" s="137"/>
      <c r="F31" s="137"/>
      <c r="G31" s="137"/>
      <c r="H31" s="137"/>
      <c r="I31" s="137"/>
      <c r="J31" s="137"/>
      <c r="K31" s="137"/>
      <c r="L31" s="137"/>
      <c r="M31" s="37"/>
    </row>
    <row r="32" spans="1:25" ht="34.5" customHeight="1">
      <c r="A32" s="32"/>
      <c r="B32" s="119"/>
      <c r="C32" s="119"/>
      <c r="D32" s="119"/>
      <c r="E32" s="136"/>
      <c r="F32" s="136"/>
      <c r="G32" s="136"/>
      <c r="H32" s="136"/>
      <c r="I32" s="136"/>
      <c r="J32" s="136"/>
      <c r="K32" s="136"/>
      <c r="L32" s="136"/>
      <c r="M32" s="39"/>
    </row>
    <row r="33" spans="1:13" ht="30" customHeight="1">
      <c r="A33" s="30"/>
      <c r="B33" s="164"/>
      <c r="C33" s="165"/>
      <c r="D33" s="166"/>
      <c r="E33" s="164"/>
      <c r="F33" s="165"/>
      <c r="G33" s="165"/>
      <c r="H33" s="165"/>
      <c r="I33" s="165"/>
      <c r="J33" s="166"/>
      <c r="K33" s="167"/>
      <c r="L33" s="167"/>
      <c r="M33" s="41"/>
    </row>
    <row r="34" spans="1:13" ht="39" customHeight="1">
      <c r="A34" s="55"/>
      <c r="B34" s="119"/>
      <c r="C34" s="119"/>
      <c r="D34" s="119"/>
      <c r="E34" s="136"/>
      <c r="F34" s="136"/>
      <c r="G34" s="136"/>
      <c r="H34" s="136"/>
      <c r="I34" s="136"/>
      <c r="J34" s="136"/>
      <c r="K34" s="136"/>
      <c r="L34" s="136"/>
      <c r="M34" s="39"/>
    </row>
    <row r="35" spans="1:13" ht="44.45" customHeight="1">
      <c r="A35" s="49"/>
      <c r="B35" s="137"/>
      <c r="C35" s="137"/>
      <c r="D35" s="137"/>
      <c r="E35" s="137"/>
      <c r="F35" s="137"/>
      <c r="G35" s="137"/>
      <c r="H35" s="137"/>
      <c r="I35" s="137"/>
      <c r="J35" s="137"/>
      <c r="K35" s="137"/>
      <c r="L35" s="137"/>
      <c r="M35" s="37"/>
    </row>
    <row r="36" spans="1:13" ht="34.5" customHeight="1">
      <c r="A36" s="55"/>
      <c r="B36" s="119"/>
      <c r="C36" s="119"/>
      <c r="D36" s="119"/>
      <c r="E36" s="136"/>
      <c r="F36" s="136"/>
      <c r="G36" s="136"/>
      <c r="H36" s="136"/>
      <c r="I36" s="136"/>
      <c r="J36" s="136"/>
      <c r="K36" s="136"/>
      <c r="L36" s="136"/>
      <c r="M36" s="39"/>
    </row>
    <row r="37" spans="1:13" ht="44.45" customHeight="1">
      <c r="A37" s="49"/>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8"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O14"/>
  <sheetViews>
    <sheetView zoomScale="90" zoomScaleNormal="90"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6" t="s">
        <v>113</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91</v>
      </c>
      <c r="D8" s="43" t="s">
        <v>266</v>
      </c>
      <c r="E8" s="43" t="s">
        <v>268</v>
      </c>
      <c r="F8" s="43"/>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6">
        <v>1</v>
      </c>
      <c r="D10" s="27">
        <v>1</v>
      </c>
      <c r="E10" s="26">
        <v>1</v>
      </c>
      <c r="F10" s="27"/>
      <c r="G10" s="27"/>
      <c r="H10" s="27"/>
      <c r="I10" s="27"/>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6">
        <v>1</v>
      </c>
      <c r="D12" s="27">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v>1</v>
      </c>
      <c r="D14" s="46">
        <f>AVERAGE(D9:D13)</f>
        <v>1</v>
      </c>
      <c r="E14" s="46">
        <f>AVERAGE(E9:E13)</f>
        <v>1</v>
      </c>
      <c r="F14" s="46" t="e">
        <f>AVERAGE(F9:F13)</f>
        <v>#DIV/0!</v>
      </c>
      <c r="G14" s="46" t="str">
        <f>IFERROR(AVERAGE(G9:G13),"-")</f>
        <v>-</v>
      </c>
      <c r="H14" s="46" t="str">
        <f t="shared" ref="H14" si="0">IFERROR(AVERAGE(H9:H13),"-")</f>
        <v>-</v>
      </c>
      <c r="I14" s="46" t="e">
        <f>AVERAGE(I9:I13)</f>
        <v>#DIV/0!</v>
      </c>
      <c r="J14" s="46" t="e">
        <f>AVERAGE(J9:J13)</f>
        <v>#DIV/0!</v>
      </c>
      <c r="K14" s="46" t="e">
        <f>AVERAGE(K9:K13)</f>
        <v>#DIV/0!</v>
      </c>
      <c r="L14" s="46" t="str">
        <f>IFERROR(AVERAGE(L9:L13),"-")</f>
        <v>-</v>
      </c>
      <c r="M14" s="46" t="str">
        <f t="shared" ref="M14" si="1">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1D768093-B202-45BC-9714-94BCD9298F0E}">
            <xm:f>NOT(ISERROR(SEARCH(0,C9)))</xm:f>
            <xm:f>0</xm:f>
            <x14:dxf>
              <font>
                <color theme="0"/>
              </font>
              <fill>
                <patternFill patternType="solid">
                  <bgColor rgb="FFC00000"/>
                </patternFill>
              </fill>
            </x14:dxf>
          </x14:cfRule>
          <xm:sqref>C9:M13</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A1:M37"/>
  <sheetViews>
    <sheetView topLeftCell="A4" zoomScale="70" zoomScaleNormal="70" workbookViewId="0">
      <selection activeCell="A17" sqref="A17"/>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114</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52" t="inlineStr">
        <is>
          <t>3/2026</t>
        </is>
      </c>
      <c r="B13" s="58">
        <f>SUMPRODUCT(--('جهاز المقطعية'!$C$9:$C$13&amp;""="1"))</f>
        <v>5</v>
      </c>
      <c r="C13" s="58">
        <f>SUMPRODUCT(--('جهاز المقطعية'!$C$9:$C$13&amp;""="1"))+SUMPRODUCT(--('جهاز المقطعية'!$C$9:$C$13&amp;""="0"))</f>
        <v>5</v>
      </c>
      <c r="D13" s="59">
        <f>IFERROR(B13/C13,"")</f>
        <v>1</v>
      </c>
    </row>
    <row r="14" spans="1:13">
      <c r="A14" s="52" t="inlineStr">
        <is>
          <t>6/2026</t>
        </is>
      </c>
      <c r="B14" s="58">
        <f>SUMPRODUCT(--('جهاز المقطعية'!$D$9:$D$13&amp;""="1"))</f>
        <v>5</v>
      </c>
      <c r="C14" s="58">
        <f>SUMPRODUCT(--('جهاز المقطعية'!$D$9:$D$13&amp;""="1"))+SUMPRODUCT(--('جهاز المقطعية'!$D$9:$D$13&amp;""="0"))</f>
        <v>5</v>
      </c>
      <c r="D14" s="59">
        <f>IFERROR(B14/C14,"")</f>
        <v>1</v>
      </c>
    </row>
    <row r="15" spans="1:13">
      <c r="A15" s="52" t="inlineStr">
        <is>
          <t>9/2026</t>
        </is>
      </c>
      <c r="B15" s="58">
        <f>SUMPRODUCT(--('جهاز المقطعية'!$E$9:$E$13&amp;""="1"))</f>
        <v>5</v>
      </c>
      <c r="C15" s="58">
        <f>SUMPRODUCT(--('جهاز المقطعية'!$E$9:$E$13&amp;""="1"))+SUMPRODUCT(--('جهاز المقطعية'!$E$9:$E$13&amp;""="0"))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40" t="s">
        <v>19</v>
      </c>
      <c r="B24" s="140"/>
      <c r="C24" s="140"/>
      <c r="D24" s="35">
        <f>AVERAGE(D13:D23)</f>
        <v>1</v>
      </c>
      <c r="E24" s="1" t="s">
        <v>75</v>
      </c>
    </row>
    <row r="25" spans="1:13" s="48" customFormat="1">
      <c r="A25" s="68"/>
      <c r="B25" s="69"/>
      <c r="C25" s="70"/>
      <c r="D25" s="71"/>
    </row>
    <row r="26" spans="1:13" ht="23.45" customHeight="1">
      <c r="A26" s="36" t="s">
        <v>17</v>
      </c>
      <c r="B26" s="130" t="s">
        <v>20</v>
      </c>
      <c r="C26" s="131"/>
      <c r="D26" s="132"/>
      <c r="E26" s="129" t="s">
        <v>21</v>
      </c>
      <c r="F26" s="129"/>
      <c r="G26" s="129"/>
      <c r="H26" s="129"/>
      <c r="I26" s="129"/>
      <c r="J26" s="129"/>
      <c r="K26" s="129" t="s">
        <v>22</v>
      </c>
      <c r="L26" s="129"/>
      <c r="M26" s="36" t="s">
        <v>23</v>
      </c>
    </row>
    <row r="27" spans="1:13" ht="38.450000000000003" customHeight="1">
      <c r="A27" s="30"/>
      <c r="B27" s="137"/>
      <c r="C27" s="137"/>
      <c r="D27" s="137"/>
      <c r="E27" s="137"/>
      <c r="F27" s="137"/>
      <c r="G27" s="137"/>
      <c r="H27" s="137"/>
      <c r="I27" s="137"/>
      <c r="J27" s="137"/>
      <c r="K27" s="137"/>
      <c r="L27" s="137"/>
      <c r="M27" s="37"/>
    </row>
    <row r="28" spans="1:13" ht="41.45" customHeight="1">
      <c r="A28" s="32"/>
      <c r="B28" s="119"/>
      <c r="C28" s="119"/>
      <c r="D28" s="119"/>
      <c r="E28" s="136"/>
      <c r="F28" s="136"/>
      <c r="G28" s="136"/>
      <c r="H28" s="136"/>
      <c r="I28" s="136"/>
      <c r="J28" s="136"/>
      <c r="K28" s="136"/>
      <c r="L28" s="136"/>
      <c r="M28" s="39"/>
    </row>
    <row r="29" spans="1:13" ht="44.1" customHeight="1">
      <c r="A29" s="30"/>
      <c r="B29" s="137"/>
      <c r="C29" s="137"/>
      <c r="D29" s="137"/>
      <c r="E29" s="137"/>
      <c r="F29" s="137"/>
      <c r="G29" s="137"/>
      <c r="H29" s="137"/>
      <c r="I29" s="137"/>
      <c r="J29" s="137"/>
      <c r="K29" s="137"/>
      <c r="L29" s="137"/>
      <c r="M29" s="37"/>
    </row>
    <row r="30" spans="1:13" ht="39" customHeight="1">
      <c r="A30" s="32"/>
      <c r="B30" s="119"/>
      <c r="C30" s="119"/>
      <c r="D30" s="119"/>
      <c r="E30" s="136"/>
      <c r="F30" s="136"/>
      <c r="G30" s="136"/>
      <c r="H30" s="136"/>
      <c r="I30" s="136"/>
      <c r="J30" s="136"/>
      <c r="K30" s="136"/>
      <c r="L30" s="136"/>
      <c r="M30" s="39"/>
    </row>
    <row r="31" spans="1:13" ht="44.45" customHeight="1">
      <c r="A31" s="30"/>
      <c r="B31" s="137"/>
      <c r="C31" s="137"/>
      <c r="D31" s="137"/>
      <c r="E31" s="137"/>
      <c r="F31" s="137"/>
      <c r="G31" s="137"/>
      <c r="H31" s="137"/>
      <c r="I31" s="137"/>
      <c r="J31" s="137"/>
      <c r="K31" s="137"/>
      <c r="L31" s="137"/>
      <c r="M31" s="37"/>
    </row>
    <row r="32" spans="1:13" ht="34.5" customHeight="1">
      <c r="A32" s="32"/>
      <c r="B32" s="119"/>
      <c r="C32" s="119"/>
      <c r="D32" s="119"/>
      <c r="E32" s="136"/>
      <c r="F32" s="136"/>
      <c r="G32" s="136"/>
      <c r="H32" s="136"/>
      <c r="I32" s="136"/>
      <c r="J32" s="136"/>
      <c r="K32" s="136"/>
      <c r="L32" s="136"/>
      <c r="M32" s="39"/>
    </row>
    <row r="33" spans="1:13" ht="30" customHeight="1">
      <c r="A33" s="30"/>
      <c r="B33" s="164"/>
      <c r="C33" s="165"/>
      <c r="D33" s="166"/>
      <c r="E33" s="164"/>
      <c r="F33" s="165"/>
      <c r="G33" s="165"/>
      <c r="H33" s="165"/>
      <c r="I33" s="165"/>
      <c r="J33" s="166"/>
      <c r="K33" s="167"/>
      <c r="L33" s="167"/>
      <c r="M33" s="41"/>
    </row>
    <row r="34" spans="1:13" ht="39" customHeight="1">
      <c r="A34" s="55"/>
      <c r="B34" s="119"/>
      <c r="C34" s="119"/>
      <c r="D34" s="119"/>
      <c r="E34" s="136"/>
      <c r="F34" s="136"/>
      <c r="G34" s="136"/>
      <c r="H34" s="136"/>
      <c r="I34" s="136"/>
      <c r="J34" s="136"/>
      <c r="K34" s="136"/>
      <c r="L34" s="136"/>
      <c r="M34" s="39"/>
    </row>
    <row r="35" spans="1:13" ht="44.45" customHeight="1">
      <c r="A35" s="49"/>
      <c r="B35" s="137"/>
      <c r="C35" s="137"/>
      <c r="D35" s="137"/>
      <c r="E35" s="137"/>
      <c r="F35" s="137"/>
      <c r="G35" s="137"/>
      <c r="H35" s="137"/>
      <c r="I35" s="137"/>
      <c r="J35" s="137"/>
      <c r="K35" s="137"/>
      <c r="L35" s="137"/>
      <c r="M35" s="37"/>
    </row>
    <row r="36" spans="1:13" ht="34.5" customHeight="1">
      <c r="A36" s="55"/>
      <c r="B36" s="119"/>
      <c r="C36" s="119"/>
      <c r="D36" s="119"/>
      <c r="E36" s="136"/>
      <c r="F36" s="136"/>
      <c r="G36" s="136"/>
      <c r="H36" s="136"/>
      <c r="I36" s="136"/>
      <c r="J36" s="136"/>
      <c r="K36" s="136"/>
      <c r="L36" s="136"/>
      <c r="M36" s="39"/>
    </row>
    <row r="37" spans="1:13" ht="44.45" customHeight="1">
      <c r="A37" s="49"/>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CCE7B200-4A96-44FE-82D6-43E9C84E3C07}">
            <xm:f>NOT(ISERROR(SEARCH(0,A13)))</xm:f>
            <xm:f>0</xm:f>
            <x14:dxf>
              <font>
                <color theme="0"/>
              </font>
              <fill>
                <patternFill patternType="solid">
                  <bgColor rgb="FFC00000"/>
                </patternFill>
              </fill>
            </x14:dxf>
          </x14:cfRule>
          <xm:sqref>A13</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A1:O14"/>
  <sheetViews>
    <sheetView zoomScale="85" zoomScaleNormal="85" workbookViewId="0">
      <selection activeCell="E13" sqref="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6" t="s">
        <v>115</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7">
        <v>1</v>
      </c>
      <c r="D10" s="26">
        <v>1</v>
      </c>
      <c r="E10" s="26">
        <v>1</v>
      </c>
      <c r="F10" s="27"/>
      <c r="G10" s="26"/>
      <c r="H10" s="26"/>
      <c r="I10" s="26"/>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7">
        <v>1</v>
      </c>
      <c r="D12" s="26">
        <v>1</v>
      </c>
      <c r="E12" s="26">
        <v>1</v>
      </c>
      <c r="F12" s="27"/>
      <c r="G12" s="26"/>
      <c r="H12" s="26"/>
      <c r="I12" s="26"/>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v>1</v>
      </c>
      <c r="E14" s="46">
        <v>1</v>
      </c>
      <c r="F14" s="46" t="e">
        <f>AVERAGE(F9:F13)</f>
        <v>#DIV/0!</v>
      </c>
      <c r="G14" s="46"/>
      <c r="H14" s="46"/>
      <c r="I14" s="46"/>
      <c r="J14" s="46" t="e">
        <f>AVERAGE(J9:J13)</f>
        <v>#DIV/0!</v>
      </c>
      <c r="K14" s="46" t="e">
        <f>AVERAGE(K9:K13)</f>
        <v>#DIV/0!</v>
      </c>
      <c r="L14" s="46" t="str">
        <f>IFERROR(AVERAGE(L9:L13),"-")</f>
        <v>-</v>
      </c>
      <c r="M14" s="46" t="str">
        <f t="shared" ref="M14" si="0">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FD4260C7-C31C-4188-8B83-3A55A2CF364C}">
            <xm:f>NOT(ISERROR(SEARCH(0,C9)))</xm:f>
            <xm:f>0</xm:f>
            <x14:dxf>
              <font>
                <color theme="0"/>
              </font>
              <fill>
                <patternFill patternType="solid">
                  <bgColor rgb="FFC00000"/>
                </patternFill>
              </fill>
            </x14:dxf>
          </x14:cfRule>
          <xm:sqref>C9:M13</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A1:M37"/>
  <sheetViews>
    <sheetView topLeftCell="A5" zoomScale="70" zoomScaleNormal="70" workbookViewId="0">
      <selection activeCell="A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115</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105" t="inlineStr">
        <is>
          <t>3/2026</t>
        </is>
      </c>
      <c r="B13" s="58">
        <f>SUMPRODUCT(--('الكلي الصناعي'!$C$9:$C$13&amp;""="1"))</f>
        <v>5</v>
      </c>
      <c r="C13" s="58">
        <f>SUMPRODUCT(--('الكلي الصناعي'!$C$9:$C$13&amp;""="1"))+SUMPRODUCT(--('الكلي الصناعي'!$C$9:$C$13&amp;""="0"))</f>
        <v>5</v>
      </c>
      <c r="D13" s="59">
        <f>IFERROR(B13/C13,"")</f>
        <v>1</v>
      </c>
    </row>
    <row r="14" spans="1:13">
      <c r="A14" s="105" t="inlineStr">
        <is>
          <t>6/2026</t>
        </is>
      </c>
      <c r="B14" s="58">
        <f>SUMPRODUCT(--('الكلي الصناعي'!$D$9:$D$13&amp;""="1"))</f>
        <v>5</v>
      </c>
      <c r="C14" s="58">
        <f>SUMPRODUCT(--('الكلي الصناعي'!$D$9:$D$13&amp;""="1"))+SUMPRODUCT(--('الكلي الصناعي'!$D$9:$D$13&amp;""="0"))</f>
        <v>5</v>
      </c>
      <c r="D14" s="59">
        <f>IFERROR(B14/C14,"")</f>
        <v>1</v>
      </c>
    </row>
    <row r="15" spans="1:13">
      <c r="A15" s="105" t="inlineStr">
        <is>
          <t>9/2026</t>
        </is>
      </c>
      <c r="B15" s="58">
        <f>SUMPRODUCT(--('الكلي الصناعي'!$E$9:$E$13&amp;""="1"))</f>
        <v>5</v>
      </c>
      <c r="C15" s="58">
        <f>SUMPRODUCT(--('الكلي الصناعي'!$E$9:$E$13&amp;""="1"))+SUMPRODUCT(--('الكلي الصناعي'!$E$9:$E$13&amp;""="0"))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72" t="s">
        <v>19</v>
      </c>
      <c r="B24" s="172"/>
      <c r="C24" s="172"/>
      <c r="D24" s="66">
        <f>AVERAGE(D13:D23)</f>
        <v>1</v>
      </c>
      <c r="E24" s="1" t="s">
        <v>75</v>
      </c>
    </row>
    <row r="25" spans="1:13" s="48" customFormat="1">
      <c r="A25" s="53"/>
      <c r="B25" s="53"/>
      <c r="C25" s="53"/>
      <c r="D25" s="65"/>
    </row>
    <row r="26" spans="1:13" ht="23.45" customHeight="1">
      <c r="A26" s="54" t="s">
        <v>17</v>
      </c>
      <c r="B26" s="168" t="s">
        <v>20</v>
      </c>
      <c r="C26" s="169"/>
      <c r="D26" s="170"/>
      <c r="E26" s="171" t="s">
        <v>21</v>
      </c>
      <c r="F26" s="171"/>
      <c r="G26" s="171"/>
      <c r="H26" s="171"/>
      <c r="I26" s="171"/>
      <c r="J26" s="171"/>
      <c r="K26" s="171" t="s">
        <v>22</v>
      </c>
      <c r="L26" s="171"/>
      <c r="M26" s="54" t="s">
        <v>23</v>
      </c>
    </row>
    <row r="27" spans="1:13" ht="38.450000000000003" customHeight="1">
      <c r="A27" s="30"/>
      <c r="B27" s="137"/>
      <c r="C27" s="137"/>
      <c r="D27" s="137"/>
      <c r="E27" s="137"/>
      <c r="F27" s="137"/>
      <c r="G27" s="137"/>
      <c r="H27" s="137"/>
      <c r="I27" s="137"/>
      <c r="J27" s="137"/>
      <c r="K27" s="137"/>
      <c r="L27" s="137"/>
      <c r="M27" s="37"/>
    </row>
    <row r="28" spans="1:13" ht="41.45" customHeight="1">
      <c r="A28" s="32"/>
      <c r="B28" s="119"/>
      <c r="C28" s="119"/>
      <c r="D28" s="119"/>
      <c r="E28" s="136"/>
      <c r="F28" s="136"/>
      <c r="G28" s="136"/>
      <c r="H28" s="136"/>
      <c r="I28" s="136"/>
      <c r="J28" s="136"/>
      <c r="K28" s="136"/>
      <c r="L28" s="136"/>
      <c r="M28" s="39"/>
    </row>
    <row r="29" spans="1:13" ht="44.1" customHeight="1">
      <c r="A29" s="30"/>
      <c r="B29" s="137"/>
      <c r="C29" s="137"/>
      <c r="D29" s="137"/>
      <c r="E29" s="137"/>
      <c r="F29" s="137"/>
      <c r="G29" s="137"/>
      <c r="H29" s="137"/>
      <c r="I29" s="137"/>
      <c r="J29" s="137"/>
      <c r="K29" s="137"/>
      <c r="L29" s="137"/>
      <c r="M29" s="37"/>
    </row>
    <row r="30" spans="1:13" ht="39" customHeight="1">
      <c r="A30" s="32"/>
      <c r="B30" s="119"/>
      <c r="C30" s="119"/>
      <c r="D30" s="119"/>
      <c r="E30" s="136"/>
      <c r="F30" s="136"/>
      <c r="G30" s="136"/>
      <c r="H30" s="136"/>
      <c r="I30" s="136"/>
      <c r="J30" s="136"/>
      <c r="K30" s="136"/>
      <c r="L30" s="136"/>
      <c r="M30" s="39"/>
    </row>
    <row r="31" spans="1:13" ht="44.45" customHeight="1">
      <c r="A31" s="30"/>
      <c r="B31" s="137"/>
      <c r="C31" s="137"/>
      <c r="D31" s="137"/>
      <c r="E31" s="137"/>
      <c r="F31" s="137"/>
      <c r="G31" s="137"/>
      <c r="H31" s="137"/>
      <c r="I31" s="137"/>
      <c r="J31" s="137"/>
      <c r="K31" s="137"/>
      <c r="L31" s="137"/>
      <c r="M31" s="37"/>
    </row>
    <row r="32" spans="1:13" ht="34.5" customHeight="1">
      <c r="A32" s="32"/>
      <c r="B32" s="119"/>
      <c r="C32" s="119"/>
      <c r="D32" s="119"/>
      <c r="E32" s="136"/>
      <c r="F32" s="136"/>
      <c r="G32" s="136"/>
      <c r="H32" s="136"/>
      <c r="I32" s="136"/>
      <c r="J32" s="136"/>
      <c r="K32" s="136"/>
      <c r="L32" s="136"/>
      <c r="M32" s="39"/>
    </row>
    <row r="33" spans="1:13" ht="30" customHeight="1">
      <c r="A33" s="30"/>
      <c r="B33" s="164"/>
      <c r="C33" s="165"/>
      <c r="D33" s="166"/>
      <c r="E33" s="164"/>
      <c r="F33" s="165"/>
      <c r="G33" s="165"/>
      <c r="H33" s="165"/>
      <c r="I33" s="165"/>
      <c r="J33" s="166"/>
      <c r="K33" s="167"/>
      <c r="L33" s="167"/>
      <c r="M33" s="41"/>
    </row>
    <row r="34" spans="1:13" ht="39" customHeight="1">
      <c r="A34" s="55"/>
      <c r="B34" s="119"/>
      <c r="C34" s="119"/>
      <c r="D34" s="119"/>
      <c r="E34" s="136"/>
      <c r="F34" s="136"/>
      <c r="G34" s="136"/>
      <c r="H34" s="136"/>
      <c r="I34" s="136"/>
      <c r="J34" s="136"/>
      <c r="K34" s="136"/>
      <c r="L34" s="136"/>
      <c r="M34" s="39"/>
    </row>
    <row r="35" spans="1:13" ht="44.45" customHeight="1">
      <c r="A35" s="49"/>
      <c r="B35" s="137"/>
      <c r="C35" s="137"/>
      <c r="D35" s="137"/>
      <c r="E35" s="137"/>
      <c r="F35" s="137"/>
      <c r="G35" s="137"/>
      <c r="H35" s="137"/>
      <c r="I35" s="137"/>
      <c r="J35" s="137"/>
      <c r="K35" s="137"/>
      <c r="L35" s="137"/>
      <c r="M35" s="37"/>
    </row>
    <row r="36" spans="1:13" ht="34.5" customHeight="1">
      <c r="A36" s="55"/>
      <c r="B36" s="119"/>
      <c r="C36" s="119"/>
      <c r="D36" s="119"/>
      <c r="E36" s="136"/>
      <c r="F36" s="136"/>
      <c r="G36" s="136"/>
      <c r="H36" s="136"/>
      <c r="I36" s="136"/>
      <c r="J36" s="136"/>
      <c r="K36" s="136"/>
      <c r="L36" s="136"/>
      <c r="M36" s="39"/>
    </row>
    <row r="37" spans="1:13" ht="44.45" customHeight="1">
      <c r="A37" s="49"/>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A1:O14"/>
  <sheetViews>
    <sheetView topLeftCell="A5" workbookViewId="0">
      <selection activeCell="E13" sqref="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7" t="s">
        <v>116</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7">
        <v>1</v>
      </c>
      <c r="D10" s="26">
        <v>1</v>
      </c>
      <c r="E10" s="26">
        <v>1</v>
      </c>
      <c r="F10" s="27"/>
      <c r="G10" s="27"/>
      <c r="H10" s="27"/>
      <c r="I10" s="27"/>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7">
        <v>1</v>
      </c>
      <c r="D12" s="26">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f t="shared" ref="D14:E14" si="0">AVERAGE(D9:D13)</f>
        <v>1</v>
      </c>
      <c r="E14" s="46">
        <f t="shared" si="0"/>
        <v>1</v>
      </c>
      <c r="F14" s="46" t="e">
        <f>AVERAGE(F9:F13)</f>
        <v>#DIV/0!</v>
      </c>
      <c r="G14" s="46" t="str">
        <f>IFERROR(AVERAGE(G9:G13),"-")</f>
        <v>-</v>
      </c>
      <c r="H14" s="46" t="str">
        <f t="shared" ref="H14" si="1">IFERROR(AVERAGE(H9:H13),"-")</f>
        <v>-</v>
      </c>
      <c r="I14" s="46" t="e">
        <f>AVERAGE(I9:I13)</f>
        <v>#DIV/0!</v>
      </c>
      <c r="J14" s="46" t="e">
        <f>AVERAGE(J9:J13)</f>
        <v>#DIV/0!</v>
      </c>
      <c r="K14" s="46" t="e">
        <f>AVERAGE(K9:K13)</f>
        <v>#DIV/0!</v>
      </c>
      <c r="L14" s="46" t="str">
        <f>IFERROR(AVERAGE(L9:L13),"-")</f>
        <v>-</v>
      </c>
      <c r="M14" s="46" t="str">
        <f t="shared" ref="M14" si="2">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6E0BA80E-8807-4070-AAEE-6F5F9353D94C}">
            <xm:f>NOT(ISERROR(SEARCH(0,C9)))</xm:f>
            <xm:f>0</xm:f>
            <x14:dxf>
              <font>
                <color theme="0"/>
              </font>
              <fill>
                <patternFill patternType="solid">
                  <bgColor rgb="FFC00000"/>
                </patternFill>
              </fill>
            </x14:dxf>
          </x14:cfRule>
          <xm:sqref>C9:M13</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pageSetUpPr fitToPage="1"/>
  </sheetPr>
  <dimension ref="A1:M37"/>
  <sheetViews>
    <sheetView zoomScale="55" zoomScaleNormal="55" workbookViewId="0">
      <selection activeCell="A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116</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105" t="inlineStr">
        <is>
          <t>3/2026</t>
        </is>
      </c>
      <c r="B13" s="58">
        <f>SUMPRODUCT(--('اشعة متنقل'!$C$9:$C$13&amp;""="1"))</f>
        <v>5</v>
      </c>
      <c r="C13" s="58">
        <f>SUMPRODUCT(--('اشعة متنقل'!$C$9:$C$13&amp;""="1"))+SUMPRODUCT(--('اشعة متنقل'!$C$9:$C$13&amp;""="0"))</f>
        <v>5</v>
      </c>
      <c r="D13" s="59">
        <f>IFERROR(B13/C13,"")</f>
        <v>1</v>
      </c>
    </row>
    <row r="14" spans="1:13">
      <c r="A14" s="105" t="inlineStr">
        <is>
          <t>6/2026</t>
        </is>
      </c>
      <c r="B14" s="58">
        <f>SUMPRODUCT(--('اشعة متنقل'!$D$9:$D$13&amp;""="1"))</f>
        <v>5</v>
      </c>
      <c r="C14" s="58">
        <f>SUMPRODUCT(--('اشعة متنقل'!$D$9:$D$13&amp;""="1"))+SUMPRODUCT(--('اشعة متنقل'!$D$9:$D$13&amp;""="0"))</f>
        <v>5</v>
      </c>
      <c r="D14" s="59">
        <f>IFERROR(B14/C14,"")</f>
        <v>1</v>
      </c>
    </row>
    <row r="15" spans="1:13">
      <c r="A15" s="105" t="inlineStr">
        <is>
          <t>9/2026</t>
        </is>
      </c>
      <c r="B15" s="58">
        <f>SUMPRODUCT(--('اشعة متنقل'!$E$9:$E$13&amp;""="1"))</f>
        <v>5</v>
      </c>
      <c r="C15" s="58">
        <f>SUMPRODUCT(--('اشعة متنقل'!$E$9:$E$13&amp;""="1"))+SUMPRODUCT(--('اشعة متنقل'!$E$9:$E$13&amp;""="0"))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40" t="s">
        <v>19</v>
      </c>
      <c r="B24" s="140"/>
      <c r="C24" s="140"/>
      <c r="D24" s="35">
        <f>AVERAGE(D13:D23)</f>
        <v>1</v>
      </c>
      <c r="E24" s="1" t="s">
        <v>75</v>
      </c>
    </row>
    <row r="25" spans="1:13" s="48" customFormat="1">
      <c r="A25" s="53"/>
      <c r="B25" s="53"/>
      <c r="C25" s="53"/>
      <c r="D25" s="65"/>
    </row>
    <row r="26" spans="1:13" ht="23.45" customHeight="1">
      <c r="A26" s="54" t="s">
        <v>17</v>
      </c>
      <c r="B26" s="171" t="s">
        <v>20</v>
      </c>
      <c r="C26" s="171"/>
      <c r="D26" s="171"/>
      <c r="E26" s="171" t="s">
        <v>21</v>
      </c>
      <c r="F26" s="171"/>
      <c r="G26" s="171"/>
      <c r="H26" s="171"/>
      <c r="I26" s="171"/>
      <c r="J26" s="171"/>
      <c r="K26" s="171" t="s">
        <v>22</v>
      </c>
      <c r="L26" s="171"/>
      <c r="M26" s="54" t="s">
        <v>23</v>
      </c>
    </row>
    <row r="27" spans="1:13" ht="38.450000000000003" customHeight="1">
      <c r="A27" s="27"/>
      <c r="B27" s="137"/>
      <c r="C27" s="137"/>
      <c r="D27" s="137"/>
      <c r="E27" s="137"/>
      <c r="F27" s="137"/>
      <c r="G27" s="137"/>
      <c r="H27" s="137"/>
      <c r="I27" s="137"/>
      <c r="J27" s="137"/>
      <c r="K27" s="137"/>
      <c r="L27" s="137"/>
      <c r="M27" s="37"/>
    </row>
    <row r="28" spans="1:13" ht="41.45" customHeight="1">
      <c r="A28" s="26"/>
      <c r="B28" s="119"/>
      <c r="C28" s="119"/>
      <c r="D28" s="119"/>
      <c r="E28" s="136"/>
      <c r="F28" s="136"/>
      <c r="G28" s="136"/>
      <c r="H28" s="136"/>
      <c r="I28" s="136"/>
      <c r="J28" s="136"/>
      <c r="K28" s="136"/>
      <c r="L28" s="136"/>
      <c r="M28" s="39"/>
    </row>
    <row r="29" spans="1:13" ht="44.1" customHeight="1">
      <c r="A29" s="27"/>
      <c r="B29" s="137"/>
      <c r="C29" s="137"/>
      <c r="D29" s="137"/>
      <c r="E29" s="137"/>
      <c r="F29" s="137"/>
      <c r="G29" s="137"/>
      <c r="H29" s="137"/>
      <c r="I29" s="137"/>
      <c r="J29" s="137"/>
      <c r="K29" s="137"/>
      <c r="L29" s="137"/>
      <c r="M29" s="37"/>
    </row>
    <row r="30" spans="1:13" ht="39" customHeight="1">
      <c r="A30" s="26"/>
      <c r="B30" s="119"/>
      <c r="C30" s="119"/>
      <c r="D30" s="119"/>
      <c r="E30" s="136"/>
      <c r="F30" s="136"/>
      <c r="G30" s="136"/>
      <c r="H30" s="136"/>
      <c r="I30" s="136"/>
      <c r="J30" s="136"/>
      <c r="K30" s="136"/>
      <c r="L30" s="136"/>
      <c r="M30" s="39"/>
    </row>
    <row r="31" spans="1:13" ht="44.45" customHeight="1">
      <c r="A31" s="27"/>
      <c r="B31" s="137"/>
      <c r="C31" s="137"/>
      <c r="D31" s="137"/>
      <c r="E31" s="137"/>
      <c r="F31" s="137"/>
      <c r="G31" s="137"/>
      <c r="H31" s="137"/>
      <c r="I31" s="137"/>
      <c r="J31" s="137"/>
      <c r="K31" s="137"/>
      <c r="L31" s="137"/>
      <c r="M31" s="37"/>
    </row>
    <row r="32" spans="1:13" ht="38.25" customHeight="1">
      <c r="A32" s="26"/>
      <c r="B32" s="119"/>
      <c r="C32" s="119"/>
      <c r="D32" s="119"/>
      <c r="E32" s="136"/>
      <c r="F32" s="136"/>
      <c r="G32" s="136"/>
      <c r="H32" s="136"/>
      <c r="I32" s="136"/>
      <c r="J32" s="136"/>
      <c r="K32" s="136"/>
      <c r="L32" s="136"/>
      <c r="M32" s="39"/>
    </row>
    <row r="33" spans="1:13" ht="43.5" customHeight="1">
      <c r="A33" s="27"/>
      <c r="B33" s="137"/>
      <c r="C33" s="137"/>
      <c r="D33" s="137"/>
      <c r="E33" s="137"/>
      <c r="F33" s="137"/>
      <c r="G33" s="137"/>
      <c r="H33" s="137"/>
      <c r="I33" s="137"/>
      <c r="J33" s="137"/>
      <c r="K33" s="137"/>
      <c r="L33" s="137"/>
      <c r="M33" s="37"/>
    </row>
    <row r="34" spans="1:13" ht="39" customHeight="1">
      <c r="A34" s="57"/>
      <c r="B34" s="119"/>
      <c r="C34" s="119"/>
      <c r="D34" s="119"/>
      <c r="E34" s="136"/>
      <c r="F34" s="136"/>
      <c r="G34" s="136"/>
      <c r="H34" s="136"/>
      <c r="I34" s="136"/>
      <c r="J34" s="136"/>
      <c r="K34" s="136"/>
      <c r="L34" s="136"/>
      <c r="M34" s="39"/>
    </row>
    <row r="35" spans="1:13" ht="44.45" customHeight="1">
      <c r="A35" s="56"/>
      <c r="B35" s="137"/>
      <c r="C35" s="137"/>
      <c r="D35" s="137"/>
      <c r="E35" s="137"/>
      <c r="F35" s="137"/>
      <c r="G35" s="137"/>
      <c r="H35" s="137"/>
      <c r="I35" s="137"/>
      <c r="J35" s="137"/>
      <c r="K35" s="137"/>
      <c r="L35" s="137"/>
      <c r="M35" s="37"/>
    </row>
    <row r="36" spans="1:13" ht="38.25" customHeight="1">
      <c r="A36" s="57"/>
      <c r="B36" s="119"/>
      <c r="C36" s="119"/>
      <c r="D36" s="119"/>
      <c r="E36" s="136"/>
      <c r="F36" s="136"/>
      <c r="G36" s="136"/>
      <c r="H36" s="136"/>
      <c r="I36" s="136"/>
      <c r="J36" s="136"/>
      <c r="K36" s="136"/>
      <c r="L36" s="136"/>
      <c r="M36" s="39"/>
    </row>
    <row r="37" spans="1:13" ht="44.45" customHeight="1">
      <c r="A37" s="49"/>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6"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O14"/>
  <sheetViews>
    <sheetView topLeftCell="B7"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7" t="s">
        <v>117</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7">
        <v>1</v>
      </c>
      <c r="D10" s="26">
        <v>1</v>
      </c>
      <c r="E10" s="26">
        <v>1</v>
      </c>
      <c r="F10" s="27"/>
      <c r="G10" s="27"/>
      <c r="H10" s="27"/>
      <c r="I10" s="27"/>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7">
        <v>1</v>
      </c>
      <c r="D12" s="26">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f t="shared" ref="D14:E14" si="0">AVERAGE(D9:D13)</f>
        <v>1</v>
      </c>
      <c r="E14" s="46">
        <f t="shared" si="0"/>
        <v>1</v>
      </c>
      <c r="F14" s="46" t="e">
        <f>AVERAGE(F9:F13)</f>
        <v>#DIV/0!</v>
      </c>
      <c r="G14" s="46" t="str">
        <f>IFERROR(AVERAGE(G9:G13),"-")</f>
        <v>-</v>
      </c>
      <c r="H14" s="46" t="str">
        <f t="shared" ref="H14" si="1">IFERROR(AVERAGE(H9:H13),"-")</f>
        <v>-</v>
      </c>
      <c r="I14" s="46" t="e">
        <f>AVERAGE(I9:I13)</f>
        <v>#DIV/0!</v>
      </c>
      <c r="J14" s="46" t="e">
        <f>AVERAGE(J9:J13)</f>
        <v>#DIV/0!</v>
      </c>
      <c r="K14" s="46" t="e">
        <f>AVERAGE(K9:K13)</f>
        <v>#DIV/0!</v>
      </c>
      <c r="L14" s="46" t="str">
        <f>IFERROR(AVERAGE(L9:L13),"-")</f>
        <v>-</v>
      </c>
      <c r="M14" s="46" t="str">
        <f t="shared" ref="M14" si="2">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F880F78B-952F-40C7-8A21-B7117ABD5BEC}">
            <xm:f>NOT(ISERROR(SEARCH(0,C9)))</xm:f>
            <xm:f>0</xm:f>
            <x14:dxf>
              <font>
                <color theme="0"/>
              </font>
              <fill>
                <patternFill patternType="solid">
                  <bgColor rgb="FFC00000"/>
                </patternFill>
              </fill>
            </x14:dxf>
          </x14:cfRule>
          <xm:sqref>C9:M13</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pageSetUpPr fitToPage="1"/>
  </sheetPr>
  <dimension ref="A1:M37"/>
  <sheetViews>
    <sheetView zoomScale="60" zoomScaleNormal="60" workbookViewId="0">
      <selection activeCell="A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row>
    <row r="2" spans="1:13">
      <c r="A2" s="25" t="s">
        <v>2</v>
      </c>
      <c r="M2" s="3"/>
    </row>
    <row r="3" spans="1:13">
      <c r="A3" s="25" t="s">
        <v>4</v>
      </c>
      <c r="C3" s="3"/>
      <c r="D3" s="3"/>
      <c r="E3" s="3"/>
      <c r="F3" s="3"/>
      <c r="G3" s="3"/>
      <c r="M3" s="3"/>
    </row>
    <row r="4" spans="1:13">
      <c r="A4" s="3"/>
      <c r="M4" s="3"/>
    </row>
    <row r="6" spans="1:13" ht="32.1" customHeight="1">
      <c r="A6" s="107" t="s">
        <v>117</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105" t="inlineStr">
        <is>
          <t>3/2026</t>
        </is>
      </c>
      <c r="B13" s="58">
        <f>SUMPRODUCT(--('تنفس صناعي'!$C$9:$C$13&amp;""="1"))</f>
        <v>5</v>
      </c>
      <c r="C13" s="58">
        <f>SUMPRODUCT(--('تنفس صناعي'!$C$9:$C$13&amp;""="1"))+SUMPRODUCT(--('تنفس صناعي'!$C$9:$C$13&amp;""="0"))</f>
        <v>5</v>
      </c>
      <c r="D13" s="59">
        <f>IFERROR(B13/C13,"")</f>
        <v>1</v>
      </c>
    </row>
    <row r="14" spans="1:13">
      <c r="A14" s="105" t="inlineStr">
        <is>
          <t>6/2026</t>
        </is>
      </c>
      <c r="B14" s="58">
        <f>SUMPRODUCT(--('تنفس صناعي'!$D$9:$D$13&amp;""="1"))</f>
        <v>5</v>
      </c>
      <c r="C14" s="58">
        <f>SUMPRODUCT(--('تنفس صناعي'!$D$9:$D$13&amp;""="1"))+SUMPRODUCT(--('تنفس صناعي'!$D$9:$D$13&amp;""="0"))</f>
        <v>5</v>
      </c>
      <c r="D14" s="59">
        <f>IFERROR(B14/C14,"")</f>
        <v>1</v>
      </c>
    </row>
    <row r="15" spans="1:13">
      <c r="A15" s="105" t="inlineStr">
        <is>
          <t>9/2026</t>
        </is>
      </c>
      <c r="B15" s="58">
        <f>SUMPRODUCT(--('تنفس صناعي'!$E$9:$E$13&amp;""="1"))</f>
        <v>5</v>
      </c>
      <c r="C15" s="58">
        <f>SUMPRODUCT(--('تنفس صناعي'!$E$9:$E$13&amp;""="1"))+SUMPRODUCT(--('تنفس صناعي'!$E$9:$E$13&amp;""="0"))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72" t="s">
        <v>19</v>
      </c>
      <c r="B24" s="172"/>
      <c r="C24" s="172"/>
      <c r="D24" s="66">
        <f>AVERAGE(D13:D23)</f>
        <v>1</v>
      </c>
      <c r="E24" s="1" t="s">
        <v>75</v>
      </c>
    </row>
    <row r="25" spans="1:13" s="48" customFormat="1">
      <c r="A25" s="53"/>
      <c r="B25" s="53"/>
      <c r="C25" s="53"/>
      <c r="D25" s="65"/>
    </row>
    <row r="26" spans="1:13" ht="23.45" customHeight="1">
      <c r="A26" s="54" t="s">
        <v>17</v>
      </c>
      <c r="B26" s="171" t="s">
        <v>20</v>
      </c>
      <c r="C26" s="171"/>
      <c r="D26" s="171"/>
      <c r="E26" s="171" t="s">
        <v>21</v>
      </c>
      <c r="F26" s="171"/>
      <c r="G26" s="171"/>
      <c r="H26" s="171"/>
      <c r="I26" s="171"/>
      <c r="J26" s="171"/>
      <c r="K26" s="171" t="s">
        <v>22</v>
      </c>
      <c r="L26" s="171"/>
      <c r="M26" s="54" t="s">
        <v>23</v>
      </c>
    </row>
    <row r="27" spans="1:13" ht="38.450000000000003" customHeight="1">
      <c r="A27" s="30"/>
      <c r="B27" s="137"/>
      <c r="C27" s="137"/>
      <c r="D27" s="137"/>
      <c r="E27" s="137"/>
      <c r="F27" s="137"/>
      <c r="G27" s="137"/>
      <c r="H27" s="137"/>
      <c r="I27" s="137"/>
      <c r="J27" s="137"/>
      <c r="K27" s="137"/>
      <c r="L27" s="137"/>
      <c r="M27" s="37"/>
    </row>
    <row r="28" spans="1:13" ht="41.45" customHeight="1">
      <c r="A28" s="32"/>
      <c r="B28" s="119"/>
      <c r="C28" s="119"/>
      <c r="D28" s="119"/>
      <c r="E28" s="136"/>
      <c r="F28" s="136"/>
      <c r="G28" s="136"/>
      <c r="H28" s="136"/>
      <c r="I28" s="136"/>
      <c r="J28" s="136"/>
      <c r="K28" s="136"/>
      <c r="L28" s="136"/>
      <c r="M28" s="39"/>
    </row>
    <row r="29" spans="1:13" ht="44.1" customHeight="1">
      <c r="A29" s="30"/>
      <c r="B29" s="137"/>
      <c r="C29" s="137"/>
      <c r="D29" s="137"/>
      <c r="E29" s="137"/>
      <c r="F29" s="137"/>
      <c r="G29" s="137"/>
      <c r="H29" s="137"/>
      <c r="I29" s="137"/>
      <c r="J29" s="137"/>
      <c r="K29" s="137"/>
      <c r="L29" s="137"/>
      <c r="M29" s="37"/>
    </row>
    <row r="30" spans="1:13" ht="39" customHeight="1">
      <c r="A30" s="32"/>
      <c r="B30" s="119"/>
      <c r="C30" s="119"/>
      <c r="D30" s="119"/>
      <c r="E30" s="136"/>
      <c r="F30" s="136"/>
      <c r="G30" s="136"/>
      <c r="H30" s="136"/>
      <c r="I30" s="136"/>
      <c r="J30" s="136"/>
      <c r="K30" s="136"/>
      <c r="L30" s="136"/>
      <c r="M30" s="39"/>
    </row>
    <row r="31" spans="1:13" ht="44.45" customHeight="1">
      <c r="A31" s="30"/>
      <c r="B31" s="137"/>
      <c r="C31" s="137"/>
      <c r="D31" s="137"/>
      <c r="E31" s="137"/>
      <c r="F31" s="137"/>
      <c r="G31" s="137"/>
      <c r="H31" s="137"/>
      <c r="I31" s="137"/>
      <c r="J31" s="137"/>
      <c r="K31" s="137"/>
      <c r="L31" s="137"/>
      <c r="M31" s="37"/>
    </row>
    <row r="32" spans="1:13" ht="38.25" customHeight="1">
      <c r="A32" s="32"/>
      <c r="B32" s="119"/>
      <c r="C32" s="119"/>
      <c r="D32" s="119"/>
      <c r="E32" s="136"/>
      <c r="F32" s="136"/>
      <c r="G32" s="136"/>
      <c r="H32" s="136"/>
      <c r="I32" s="136"/>
      <c r="J32" s="136"/>
      <c r="K32" s="136"/>
      <c r="L32" s="136"/>
      <c r="M32" s="39"/>
    </row>
    <row r="33" spans="1:13" ht="43.5" customHeight="1">
      <c r="A33" s="30"/>
      <c r="B33" s="137"/>
      <c r="C33" s="137"/>
      <c r="D33" s="137"/>
      <c r="E33" s="137"/>
      <c r="F33" s="137"/>
      <c r="G33" s="137"/>
      <c r="H33" s="137"/>
      <c r="I33" s="137"/>
      <c r="J33" s="137"/>
      <c r="K33" s="137"/>
      <c r="L33" s="137"/>
      <c r="M33" s="37"/>
    </row>
    <row r="34" spans="1:13" ht="39" customHeight="1">
      <c r="A34" s="57"/>
      <c r="B34" s="119"/>
      <c r="C34" s="119"/>
      <c r="D34" s="119"/>
      <c r="E34" s="136"/>
      <c r="F34" s="136"/>
      <c r="G34" s="136"/>
      <c r="H34" s="136"/>
      <c r="I34" s="136"/>
      <c r="J34" s="136"/>
      <c r="K34" s="136"/>
      <c r="L34" s="136"/>
      <c r="M34" s="39"/>
    </row>
    <row r="35" spans="1:13" ht="44.45" customHeight="1">
      <c r="A35" s="56"/>
      <c r="B35" s="137"/>
      <c r="C35" s="137"/>
      <c r="D35" s="137"/>
      <c r="E35" s="137"/>
      <c r="F35" s="137"/>
      <c r="G35" s="137"/>
      <c r="H35" s="137"/>
      <c r="I35" s="137"/>
      <c r="J35" s="137"/>
      <c r="K35" s="137"/>
      <c r="L35" s="137"/>
      <c r="M35" s="37"/>
    </row>
    <row r="36" spans="1:13" ht="38.25" customHeight="1">
      <c r="A36" s="57"/>
      <c r="B36" s="119"/>
      <c r="C36" s="119"/>
      <c r="D36" s="119"/>
      <c r="E36" s="136"/>
      <c r="F36" s="136"/>
      <c r="G36" s="136"/>
      <c r="H36" s="136"/>
      <c r="I36" s="136"/>
      <c r="J36" s="136"/>
      <c r="K36" s="136"/>
      <c r="L36" s="136"/>
      <c r="M36" s="39"/>
    </row>
    <row r="37" spans="1:13" ht="44.45" customHeight="1">
      <c r="A37" s="56"/>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6"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sheetPr>
  <dimension ref="A1:O14"/>
  <sheetViews>
    <sheetView topLeftCell="A4" zoomScale="90" zoomScaleNormal="90"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7" t="s">
        <v>118</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6">
        <v>1</v>
      </c>
      <c r="D10" s="26">
        <v>1</v>
      </c>
      <c r="E10" s="26">
        <v>1</v>
      </c>
      <c r="F10" s="27"/>
      <c r="G10" s="27"/>
      <c r="H10" s="27"/>
      <c r="I10" s="27"/>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6">
        <v>1</v>
      </c>
      <c r="D12" s="26">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f>AVERAGE(D9:D13)</f>
        <v>1</v>
      </c>
      <c r="E14" s="46">
        <f>AVERAGE(E9:E13)</f>
        <v>1</v>
      </c>
      <c r="F14" s="46" t="e">
        <f>AVERAGE(F9:F13)</f>
        <v>#DIV/0!</v>
      </c>
      <c r="G14" s="46" t="str">
        <f>IFERROR(AVERAGE(G9:G13),"-")</f>
        <v>-</v>
      </c>
      <c r="H14" s="46" t="str">
        <f t="shared" ref="H14" si="0">IFERROR(AVERAGE(H9:H13),"-")</f>
        <v>-</v>
      </c>
      <c r="I14" s="46"/>
      <c r="J14" s="46"/>
      <c r="K14" s="46"/>
      <c r="L14" s="46" t="str">
        <f>IFERROR(AVERAGE(L9:L13),"-")</f>
        <v>-</v>
      </c>
      <c r="M14" s="46" t="str">
        <f t="shared" ref="M14" si="1">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2F5724D2-7844-4819-8457-9484787EAA48}">
            <xm:f>NOT(ISERROR(SEARCH(0,C10)))</xm:f>
            <xm:f>0</xm:f>
            <x14:dxf>
              <font>
                <color theme="0"/>
              </font>
              <fill>
                <patternFill patternType="solid">
                  <bgColor rgb="FFC00000"/>
                </patternFill>
              </fill>
            </x14:dxf>
          </x14:cfRule>
          <xm:sqref>C10:C13</xm:sqref>
        </x14:conditionalFormatting>
        <x14:conditionalFormatting xmlns:xm="http://schemas.microsoft.com/office/excel/2006/main">
          <x14:cfRule type="containsText" priority="2" operator="containsText" id="{18DDF939-25E1-4DFF-80AD-D5AF89A75AAC}">
            <xm:f>NOT(ISERROR(SEARCH(0,C9)))</xm:f>
            <xm:f>0</xm:f>
            <x14:dxf>
              <font>
                <color theme="0"/>
              </font>
              <fill>
                <patternFill patternType="solid">
                  <bgColor rgb="FFC00000"/>
                </patternFill>
              </fill>
            </x14:dxf>
          </x14:cfRule>
          <xm:sqref>C9:M13</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pageSetUpPr fitToPage="1"/>
  </sheetPr>
  <dimension ref="A1:M37"/>
  <sheetViews>
    <sheetView zoomScale="70" zoomScaleNormal="70" workbookViewId="0">
      <selection activeCell="A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118</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105" t="inlineStr">
        <is>
          <t>3/2026</t>
        </is>
      </c>
      <c r="B13" s="58">
        <f>SUMPRODUCT(--('اشعة ماموجرام '!$C$9:$C$13&amp;""="1"))</f>
        <v>5</v>
      </c>
      <c r="C13" s="58">
        <f>SUMPRODUCT(--('اشعة ماموجرام '!$C$9:$C$13&amp;""="1"))+SUMPRODUCT(--('اشعة ماموجرام '!$C$9:$C$13&amp;""="0"))</f>
        <v>5</v>
      </c>
      <c r="D13" s="59">
        <f>IFERROR(B13/C13,"")</f>
        <v>1</v>
      </c>
    </row>
    <row r="14" spans="1:13">
      <c r="A14" s="105" t="inlineStr">
        <is>
          <t>6/2026</t>
        </is>
      </c>
      <c r="B14" s="58">
        <f>SUMPRODUCT(--('اشعة ماموجرام '!$D$9:$D$13&amp;""="1"))</f>
        <v>5</v>
      </c>
      <c r="C14" s="58">
        <f>SUMPRODUCT(--('اشعة ماموجرام '!$D$9:$D$13&amp;""="1"))+SUMPRODUCT(--('اشعة ماموجرام '!$D$9:$D$13&amp;""="0"))</f>
        <v>5</v>
      </c>
      <c r="D14" s="59">
        <f>IFERROR(B14/C14,"")</f>
        <v>1</v>
      </c>
    </row>
    <row r="15" spans="1:13">
      <c r="A15" s="105" t="inlineStr">
        <is>
          <t>9/2026</t>
        </is>
      </c>
      <c r="B15" s="58">
        <f>SUMPRODUCT(--('اشعة ماموجرام '!$E$9:$E$13&amp;""="1"))</f>
        <v>5</v>
      </c>
      <c r="C15" s="58">
        <f>SUMPRODUCT(--('اشعة ماموجرام '!$E$9:$E$13&amp;""="1"))+SUMPRODUCT(--('اشعة ماموجرام '!$E$9:$E$13&amp;""="0"))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72" t="s">
        <v>19</v>
      </c>
      <c r="B24" s="172"/>
      <c r="C24" s="172"/>
      <c r="D24" s="66">
        <f>AVERAGE(D13:D23)</f>
        <v>1</v>
      </c>
      <c r="E24" s="1" t="s">
        <v>75</v>
      </c>
    </row>
    <row r="25" spans="1:13" s="48" customFormat="1">
      <c r="A25" s="53"/>
      <c r="B25" s="53"/>
      <c r="C25" s="53"/>
      <c r="D25" s="65"/>
    </row>
    <row r="26" spans="1:13" ht="23.45" customHeight="1">
      <c r="A26" s="54" t="s">
        <v>17</v>
      </c>
      <c r="B26" s="171" t="s">
        <v>20</v>
      </c>
      <c r="C26" s="171"/>
      <c r="D26" s="171"/>
      <c r="E26" s="171" t="s">
        <v>21</v>
      </c>
      <c r="F26" s="171"/>
      <c r="G26" s="171"/>
      <c r="H26" s="171"/>
      <c r="I26" s="171"/>
      <c r="J26" s="171"/>
      <c r="K26" s="171" t="s">
        <v>22</v>
      </c>
      <c r="L26" s="171"/>
      <c r="M26" s="54" t="s">
        <v>23</v>
      </c>
    </row>
    <row r="27" spans="1:13" ht="38.450000000000003" customHeight="1">
      <c r="A27" s="30"/>
      <c r="B27" s="137"/>
      <c r="C27" s="137"/>
      <c r="D27" s="137"/>
      <c r="E27" s="137"/>
      <c r="F27" s="137"/>
      <c r="G27" s="137"/>
      <c r="H27" s="137"/>
      <c r="I27" s="137"/>
      <c r="J27" s="137"/>
      <c r="K27" s="137"/>
      <c r="L27" s="137"/>
      <c r="M27" s="37"/>
    </row>
    <row r="28" spans="1:13" ht="41.45" customHeight="1">
      <c r="A28" s="32"/>
      <c r="B28" s="119"/>
      <c r="C28" s="119"/>
      <c r="D28" s="119"/>
      <c r="E28" s="136"/>
      <c r="F28" s="136"/>
      <c r="G28" s="136"/>
      <c r="H28" s="136"/>
      <c r="I28" s="136"/>
      <c r="J28" s="136"/>
      <c r="K28" s="136"/>
      <c r="L28" s="136"/>
      <c r="M28" s="39"/>
    </row>
    <row r="29" spans="1:13" ht="44.1" customHeight="1">
      <c r="A29" s="30"/>
      <c r="B29" s="137"/>
      <c r="C29" s="137"/>
      <c r="D29" s="137"/>
      <c r="E29" s="137"/>
      <c r="F29" s="137"/>
      <c r="G29" s="137"/>
      <c r="H29" s="137"/>
      <c r="I29" s="137"/>
      <c r="J29" s="137"/>
      <c r="K29" s="137"/>
      <c r="L29" s="137"/>
      <c r="M29" s="37"/>
    </row>
    <row r="30" spans="1:13" ht="39" customHeight="1">
      <c r="A30" s="32"/>
      <c r="B30" s="119"/>
      <c r="C30" s="119"/>
      <c r="D30" s="119"/>
      <c r="E30" s="136"/>
      <c r="F30" s="136"/>
      <c r="G30" s="136"/>
      <c r="H30" s="136"/>
      <c r="I30" s="136"/>
      <c r="J30" s="136"/>
      <c r="K30" s="136"/>
      <c r="L30" s="136"/>
      <c r="M30" s="39"/>
    </row>
    <row r="31" spans="1:13" ht="44.45" customHeight="1">
      <c r="A31" s="30"/>
      <c r="B31" s="137"/>
      <c r="C31" s="137"/>
      <c r="D31" s="137"/>
      <c r="E31" s="137"/>
      <c r="F31" s="137"/>
      <c r="G31" s="137"/>
      <c r="H31" s="137"/>
      <c r="I31" s="137"/>
      <c r="J31" s="137"/>
      <c r="K31" s="137"/>
      <c r="L31" s="137"/>
      <c r="M31" s="37"/>
    </row>
    <row r="32" spans="1:13" ht="38.25" customHeight="1">
      <c r="A32" s="32"/>
      <c r="B32" s="119"/>
      <c r="C32" s="119"/>
      <c r="D32" s="119"/>
      <c r="E32" s="136"/>
      <c r="F32" s="136"/>
      <c r="G32" s="136"/>
      <c r="H32" s="136"/>
      <c r="I32" s="136"/>
      <c r="J32" s="136"/>
      <c r="K32" s="136"/>
      <c r="L32" s="136"/>
      <c r="M32" s="39"/>
    </row>
    <row r="33" spans="1:13" ht="43.5" customHeight="1">
      <c r="A33" s="30"/>
      <c r="B33" s="137"/>
      <c r="C33" s="137"/>
      <c r="D33" s="137"/>
      <c r="E33" s="137"/>
      <c r="F33" s="137"/>
      <c r="G33" s="137"/>
      <c r="H33" s="137"/>
      <c r="I33" s="137"/>
      <c r="J33" s="137"/>
      <c r="K33" s="137"/>
      <c r="L33" s="137"/>
      <c r="M33" s="37"/>
    </row>
    <row r="34" spans="1:13" ht="39" customHeight="1">
      <c r="A34" s="55"/>
      <c r="B34" s="119"/>
      <c r="C34" s="119"/>
      <c r="D34" s="119"/>
      <c r="E34" s="136"/>
      <c r="F34" s="136"/>
      <c r="G34" s="136"/>
      <c r="H34" s="136"/>
      <c r="I34" s="136"/>
      <c r="J34" s="136"/>
      <c r="K34" s="136"/>
      <c r="L34" s="136"/>
      <c r="M34" s="39"/>
    </row>
    <row r="35" spans="1:13" ht="44.45" customHeight="1">
      <c r="A35" s="49"/>
      <c r="B35" s="137"/>
      <c r="C35" s="137"/>
      <c r="D35" s="137"/>
      <c r="E35" s="137"/>
      <c r="F35" s="137"/>
      <c r="G35" s="137"/>
      <c r="H35" s="137"/>
      <c r="I35" s="137"/>
      <c r="J35" s="137"/>
      <c r="K35" s="137"/>
      <c r="L35" s="137"/>
      <c r="M35" s="37"/>
    </row>
    <row r="36" spans="1:13" ht="38.25" customHeight="1">
      <c r="A36" s="55"/>
      <c r="B36" s="119"/>
      <c r="C36" s="119"/>
      <c r="D36" s="119"/>
      <c r="E36" s="136"/>
      <c r="F36" s="136"/>
      <c r="G36" s="136"/>
      <c r="H36" s="136"/>
      <c r="I36" s="136"/>
      <c r="J36" s="136"/>
      <c r="K36" s="136"/>
      <c r="L36" s="136"/>
      <c r="M36" s="39"/>
    </row>
    <row r="37" spans="1:13" ht="44.45" customHeight="1">
      <c r="A37" s="49"/>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6"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O14"/>
  <sheetViews>
    <sheetView topLeftCell="A5" zoomScale="90" zoomScaleNormal="90"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7" t="s">
        <v>119</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6">
        <v>1</v>
      </c>
      <c r="D10" s="26">
        <v>1</v>
      </c>
      <c r="E10" s="26">
        <v>1</v>
      </c>
      <c r="F10" s="27"/>
      <c r="G10" s="27"/>
      <c r="H10" s="27"/>
      <c r="I10" s="27"/>
      <c r="J10" s="27"/>
      <c r="K10" s="27"/>
      <c r="L10" s="27"/>
      <c r="M10" s="27"/>
    </row>
    <row r="11" spans="1:15" ht="21.75" customHeight="1">
      <c r="A11" s="26">
        <v>3</v>
      </c>
      <c r="B11" s="44" t="s">
        <v>110</v>
      </c>
      <c r="C11" s="26">
        <v>1</v>
      </c>
      <c r="D11" s="26">
        <v>0</v>
      </c>
      <c r="E11" s="26">
        <v>1</v>
      </c>
      <c r="F11" s="26"/>
      <c r="G11" s="26"/>
      <c r="H11" s="26"/>
      <c r="I11" s="26"/>
      <c r="J11" s="26"/>
      <c r="K11" s="26"/>
      <c r="L11" s="26"/>
      <c r="M11" s="26"/>
    </row>
    <row r="12" spans="1:15" ht="20.100000000000001" customHeight="1">
      <c r="A12" s="27">
        <v>4</v>
      </c>
      <c r="B12" s="45" t="s">
        <v>82</v>
      </c>
      <c r="C12" s="26">
        <v>1</v>
      </c>
      <c r="D12" s="26">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f>AVERAGE(D9:D13)</f>
        <v>0.8</v>
      </c>
      <c r="E14" s="46">
        <f>AVERAGE(E9:E13)</f>
        <v>1</v>
      </c>
      <c r="F14" s="46" t="e">
        <f>AVERAGE(F9:F13)</f>
        <v>#DIV/0!</v>
      </c>
      <c r="G14" s="46" t="str">
        <f>IFERROR(AVERAGE(G9:G13),"-")</f>
        <v>-</v>
      </c>
      <c r="H14" s="46" t="str">
        <f t="shared" ref="H14" si="0">IFERROR(AVERAGE(H9:H13),"-")</f>
        <v>-</v>
      </c>
      <c r="I14" s="46" t="e">
        <f>AVERAGE(I9:I13)</f>
        <v>#DIV/0!</v>
      </c>
      <c r="J14" s="46" t="e">
        <f>AVERAGE(J9:J13)</f>
        <v>#DIV/0!</v>
      </c>
      <c r="K14" s="46" t="e">
        <f>AVERAGE(K9:K13)</f>
        <v>#DIV/0!</v>
      </c>
      <c r="L14" s="46" t="str">
        <f>IFERROR(AVERAGE(L9:L13),"-")</f>
        <v>-</v>
      </c>
      <c r="M14" s="46" t="str">
        <f t="shared" ref="M14" si="1">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77D679F0-8897-49A4-A483-5435EE9B0156}">
            <xm:f>NOT(ISERROR(SEARCH(0,C10)))</xm:f>
            <xm:f>0</xm:f>
            <x14:dxf>
              <font>
                <color theme="0"/>
              </font>
              <fill>
                <patternFill patternType="solid">
                  <bgColor rgb="FFC00000"/>
                </patternFill>
              </fill>
            </x14:dxf>
          </x14:cfRule>
          <xm:sqref>C10:C13</xm:sqref>
        </x14:conditionalFormatting>
        <x14:conditionalFormatting xmlns:xm="http://schemas.microsoft.com/office/excel/2006/main">
          <x14:cfRule type="containsText" priority="2" operator="containsText" id="{05341B35-E6BE-48BD-A153-9E5AF2EC93BA}">
            <xm:f>NOT(ISERROR(SEARCH(0,C9)))</xm:f>
            <xm:f>0</xm:f>
            <x14:dxf>
              <font>
                <color theme="0"/>
              </font>
              <fill>
                <patternFill patternType="solid">
                  <bgColor rgb="FFC00000"/>
                </patternFill>
              </fill>
            </x14:dxf>
          </x14:cfRule>
          <xm:sqref>C9:M13</xm:sqref>
        </x14:conditionalFormatting>
      </x14:conditionalFormatting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pageSetUpPr fitToPage="1"/>
  </sheetPr>
  <dimension ref="A1:M37"/>
  <sheetViews>
    <sheetView topLeftCell="A6" zoomScale="70" zoomScaleNormal="70" workbookViewId="0">
      <selection activeCell="C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119</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105" t="inlineStr">
        <is>
          <t>3/2026</t>
        </is>
      </c>
      <c r="B13" s="58">
        <f>SUMPRODUCT(--('التعقيم '!$C$9:$C$13&amp;""="1"))</f>
        <v>5</v>
      </c>
      <c r="C13" s="58">
        <f>SUMPRODUCT(--('التعقيم '!$C$9:$C$13&amp;""="1"))+SUMPRODUCT(--('التعقيم '!$C$9:$C$13&amp;""="0"))</f>
        <v>5</v>
      </c>
      <c r="D13" s="59">
        <f>IFERROR(B13/C13,"")</f>
        <v>1</v>
      </c>
    </row>
    <row r="14" spans="1:13">
      <c r="A14" s="105" t="inlineStr">
        <is>
          <t>6/2026</t>
        </is>
      </c>
      <c r="B14" s="58">
        <f>SUMPRODUCT(--('التعقيم '!$D$9:$D$13&amp;""="1"))</f>
        <v>4</v>
      </c>
      <c r="C14" s="58">
        <f>SUMPRODUCT(--('التعقيم '!$D$9:$D$13&amp;""="1"))+SUMPRODUCT(--('التعقيم '!$D$9:$D$13&amp;""="0"))</f>
        <v>5</v>
      </c>
      <c r="D14" s="59">
        <f>IFERROR(B14/C14,"")</f>
        <v>0.8</v>
      </c>
    </row>
    <row r="15" spans="1:13">
      <c r="A15" s="105" t="inlineStr">
        <is>
          <t>9/2026</t>
        </is>
      </c>
      <c r="B15" s="58">
        <f>SUMPRODUCT(--('التعقيم '!$E$9:$E$13&amp;""="1"))</f>
        <v>5</v>
      </c>
      <c r="C15" s="58">
        <f>SUMPRODUCT(--('التعقيم '!$E$9:$E$13&amp;""="1"))+SUMPRODUCT(--('التعقيم '!$E$9:$E$13&amp;""="0"))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72" t="s">
        <v>19</v>
      </c>
      <c r="B24" s="172"/>
      <c r="C24" s="172"/>
      <c r="D24" s="66">
        <f>AVERAGE(D13:D23)</f>
        <v>0.9333333333333332</v>
      </c>
      <c r="E24" s="1" t="s">
        <v>75</v>
      </c>
    </row>
    <row r="25" spans="1:13" s="48" customFormat="1">
      <c r="A25" s="53"/>
      <c r="B25" s="53"/>
      <c r="C25" s="53"/>
      <c r="D25" s="65"/>
    </row>
    <row r="26" spans="1:13" ht="23.45" customHeight="1">
      <c r="A26" s="54" t="s">
        <v>17</v>
      </c>
      <c r="B26" s="171" t="s">
        <v>20</v>
      </c>
      <c r="C26" s="171"/>
      <c r="D26" s="171"/>
      <c r="E26" s="171" t="s">
        <v>21</v>
      </c>
      <c r="F26" s="171"/>
      <c r="G26" s="171"/>
      <c r="H26" s="171"/>
      <c r="I26" s="171"/>
      <c r="J26" s="171"/>
      <c r="K26" s="171" t="s">
        <v>22</v>
      </c>
      <c r="L26" s="171"/>
      <c r="M26" s="54" t="s">
        <v>23</v>
      </c>
    </row>
    <row r="27" spans="1:13" ht="38.450000000000003" customHeight="1">
      <c r="A27" s="49"/>
      <c r="B27" s="137"/>
      <c r="C27" s="137"/>
      <c r="D27" s="137"/>
      <c r="E27" s="137"/>
      <c r="F27" s="137"/>
      <c r="G27" s="137"/>
      <c r="H27" s="137"/>
      <c r="I27" s="137"/>
      <c r="J27" s="137"/>
      <c r="K27" s="137"/>
      <c r="L27" s="137"/>
      <c r="M27" s="37"/>
    </row>
    <row r="28" spans="1:13" ht="41.45" customHeight="1">
      <c r="A28" s="32"/>
      <c r="B28" s="119"/>
      <c r="C28" s="119"/>
      <c r="D28" s="119"/>
      <c r="E28" s="136" t="s">
        <v>30</v>
      </c>
      <c r="F28" s="136"/>
      <c r="G28" s="136"/>
      <c r="H28" s="136"/>
      <c r="I28" s="136"/>
      <c r="J28" s="136"/>
      <c r="K28" s="136" t="s">
        <v>30</v>
      </c>
      <c r="L28" s="136"/>
      <c r="M28" s="39" t="s">
        <v>30</v>
      </c>
    </row>
    <row r="29" spans="1:13" ht="44.1" customHeight="1">
      <c r="A29" s="30"/>
      <c r="B29" s="137"/>
      <c r="C29" s="137"/>
      <c r="D29" s="137"/>
      <c r="E29" s="137" t="s">
        <v>30</v>
      </c>
      <c r="F29" s="137"/>
      <c r="G29" s="137"/>
      <c r="H29" s="137"/>
      <c r="I29" s="137"/>
      <c r="J29" s="137"/>
      <c r="K29" s="137" t="s">
        <v>30</v>
      </c>
      <c r="L29" s="137"/>
      <c r="M29" s="37" t="s">
        <v>30</v>
      </c>
    </row>
    <row r="30" spans="1:13" ht="39" customHeight="1">
      <c r="A30" s="32"/>
      <c r="B30" s="119"/>
      <c r="C30" s="119"/>
      <c r="D30" s="119"/>
      <c r="E30" s="136" t="s">
        <v>30</v>
      </c>
      <c r="F30" s="136"/>
      <c r="G30" s="136"/>
      <c r="H30" s="136"/>
      <c r="I30" s="136"/>
      <c r="J30" s="136"/>
      <c r="K30" s="136" t="s">
        <v>30</v>
      </c>
      <c r="L30" s="136"/>
      <c r="M30" s="39" t="s">
        <v>30</v>
      </c>
    </row>
    <row r="31" spans="1:13" ht="44.45" customHeight="1">
      <c r="A31" s="30"/>
      <c r="B31" s="137"/>
      <c r="C31" s="137"/>
      <c r="D31" s="137"/>
      <c r="E31" s="137" t="s">
        <v>30</v>
      </c>
      <c r="F31" s="137"/>
      <c r="G31" s="137"/>
      <c r="H31" s="137"/>
      <c r="I31" s="137"/>
      <c r="J31" s="137"/>
      <c r="K31" s="137" t="s">
        <v>30</v>
      </c>
      <c r="L31" s="137"/>
      <c r="M31" s="37" t="s">
        <v>30</v>
      </c>
    </row>
    <row r="32" spans="1:13" ht="38.25" customHeight="1">
      <c r="A32" s="32"/>
      <c r="B32" s="119"/>
      <c r="C32" s="119"/>
      <c r="D32" s="119"/>
      <c r="E32" s="136" t="s">
        <v>30</v>
      </c>
      <c r="F32" s="136"/>
      <c r="G32" s="136"/>
      <c r="H32" s="136"/>
      <c r="I32" s="136"/>
      <c r="J32" s="136"/>
      <c r="K32" s="136" t="s">
        <v>30</v>
      </c>
      <c r="L32" s="136"/>
      <c r="M32" s="39" t="s">
        <v>30</v>
      </c>
    </row>
    <row r="33" spans="1:13" ht="43.5" customHeight="1">
      <c r="A33" s="30"/>
      <c r="B33" s="137"/>
      <c r="C33" s="137"/>
      <c r="D33" s="137"/>
      <c r="E33" s="137" t="s">
        <v>30</v>
      </c>
      <c r="F33" s="137"/>
      <c r="G33" s="137"/>
      <c r="H33" s="137"/>
      <c r="I33" s="137"/>
      <c r="J33" s="137"/>
      <c r="K33" s="137" t="s">
        <v>30</v>
      </c>
      <c r="L33" s="137"/>
      <c r="M33" s="37" t="s">
        <v>30</v>
      </c>
    </row>
    <row r="34" spans="1:13" ht="39" customHeight="1">
      <c r="A34" s="55"/>
      <c r="B34" s="119"/>
      <c r="C34" s="119"/>
      <c r="D34" s="119"/>
      <c r="E34" s="136" t="s">
        <v>30</v>
      </c>
      <c r="F34" s="136"/>
      <c r="G34" s="136"/>
      <c r="H34" s="136"/>
      <c r="I34" s="136"/>
      <c r="J34" s="136"/>
      <c r="K34" s="136" t="s">
        <v>30</v>
      </c>
      <c r="L34" s="136"/>
      <c r="M34" s="39" t="s">
        <v>30</v>
      </c>
    </row>
    <row r="35" spans="1:13" ht="44.45" customHeight="1">
      <c r="A35" s="49"/>
      <c r="B35" s="137"/>
      <c r="C35" s="137"/>
      <c r="D35" s="137"/>
      <c r="E35" s="137" t="s">
        <v>30</v>
      </c>
      <c r="F35" s="137"/>
      <c r="G35" s="137"/>
      <c r="H35" s="137"/>
      <c r="I35" s="137"/>
      <c r="J35" s="137"/>
      <c r="K35" s="137" t="s">
        <v>30</v>
      </c>
      <c r="L35" s="137"/>
      <c r="M35" s="37" t="s">
        <v>30</v>
      </c>
    </row>
    <row r="36" spans="1:13" ht="38.25" customHeight="1">
      <c r="A36" s="55"/>
      <c r="B36" s="119"/>
      <c r="C36" s="119"/>
      <c r="D36" s="119"/>
      <c r="E36" s="136" t="s">
        <v>30</v>
      </c>
      <c r="F36" s="136"/>
      <c r="G36" s="136"/>
      <c r="H36" s="136"/>
      <c r="I36" s="136"/>
      <c r="J36" s="136"/>
      <c r="K36" s="136" t="s">
        <v>30</v>
      </c>
      <c r="L36" s="136"/>
      <c r="M36" s="39" t="s">
        <v>30</v>
      </c>
    </row>
    <row r="37" spans="1:13" ht="44.45" customHeight="1">
      <c r="A37" s="49"/>
      <c r="B37" s="137"/>
      <c r="C37" s="137"/>
      <c r="D37" s="137"/>
      <c r="E37" s="137" t="s">
        <v>30</v>
      </c>
      <c r="F37" s="137"/>
      <c r="G37" s="137"/>
      <c r="H37" s="137"/>
      <c r="I37" s="137"/>
      <c r="J37" s="137"/>
      <c r="K37" s="137" t="s">
        <v>30</v>
      </c>
      <c r="L37" s="137"/>
      <c r="M37" s="37" t="s">
        <v>30</v>
      </c>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6"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A1:O14"/>
  <sheetViews>
    <sheetView zoomScale="71" zoomScaleNormal="71"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7" t="s">
        <v>120</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7">
        <v>1</v>
      </c>
      <c r="D10" s="26">
        <v>1</v>
      </c>
      <c r="E10" s="26">
        <v>1</v>
      </c>
      <c r="F10" s="27"/>
      <c r="G10" s="27"/>
      <c r="H10" s="27"/>
      <c r="I10" s="27"/>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7">
        <v>1</v>
      </c>
      <c r="D12" s="26">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v>1</v>
      </c>
      <c r="E14" s="46">
        <v>1</v>
      </c>
      <c r="F14" s="46" t="e">
        <f>AVERAGE(F9:F13)</f>
        <v>#DIV/0!</v>
      </c>
      <c r="G14" s="46" t="str">
        <f>IFERROR(AVERAGE(G9:G13),"-")</f>
        <v>-</v>
      </c>
      <c r="H14" s="46" t="str">
        <f t="shared" ref="H14" si="0">IFERROR(AVERAGE(H9:H13),"-")</f>
        <v>-</v>
      </c>
      <c r="I14" s="46" t="e">
        <f>AVERAGE(I9:I13)</f>
        <v>#DIV/0!</v>
      </c>
      <c r="J14" s="46" t="e">
        <f>AVERAGE(J9:J13)</f>
        <v>#DIV/0!</v>
      </c>
      <c r="K14" s="46" t="e">
        <f>AVERAGE(K9:K13)</f>
        <v>#DIV/0!</v>
      </c>
      <c r="L14" s="46" t="str">
        <f>IFERROR(AVERAGE(L9:L13),"-")</f>
        <v>-</v>
      </c>
      <c r="M14" s="46" t="str">
        <f t="shared" ref="M14" si="1">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75D14376-AE5F-4EA6-BDED-3BAF74CE1209}">
            <xm:f>NOT(ISERROR(SEARCH(0,C9)))</xm:f>
            <xm:f>0</xm:f>
            <x14:dxf>
              <font>
                <color theme="0"/>
              </font>
              <fill>
                <patternFill patternType="solid">
                  <bgColor rgb="FFC00000"/>
                </patternFill>
              </fill>
            </x14:dxf>
          </x14:cfRule>
          <xm:sqref>C9:M13</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FF00"/>
    <pageSetUpPr fitToPage="1"/>
  </sheetPr>
  <dimension ref="A1:M37"/>
  <sheetViews>
    <sheetView topLeftCell="A10" zoomScale="70" zoomScaleNormal="70" workbookViewId="0">
      <selection activeCell="A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120</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105" t="inlineStr">
        <is>
          <t>3/2026</t>
        </is>
      </c>
      <c r="B13" s="58">
        <f>SUMPRODUCT(--('تخدير ومونيتور'!$C$9:$C$13&amp;""="1"))</f>
        <v>5</v>
      </c>
      <c r="C13" s="58">
        <f>SUMPRODUCT(--('تخدير ومونيتور'!$C$9:$C$13&amp;""="1"))+SUMPRODUCT(--('تخدير ومونيتور'!$C$9:$C$13&amp;""="0"))</f>
        <v>5</v>
      </c>
      <c r="D13" s="59">
        <f>IFERROR(B13/C13,"")</f>
        <v>1</v>
      </c>
    </row>
    <row r="14" spans="1:13">
      <c r="A14" s="105" t="inlineStr">
        <is>
          <t>6/2026</t>
        </is>
      </c>
      <c r="B14" s="58">
        <f>SUMPRODUCT(--('تخدير ومونيتور'!$D$9:$D$13&amp;""="1"))</f>
        <v>5</v>
      </c>
      <c r="C14" s="58">
        <f>SUMPRODUCT(--('تخدير ومونيتور'!$D$9:$D$13&amp;""="1"))+SUMPRODUCT(--('تخدير ومونيتور'!$D$9:$D$13&amp;""="0"))</f>
        <v>5</v>
      </c>
      <c r="D14" s="59">
        <f>IFERROR(B14/C14,"")</f>
        <v>1</v>
      </c>
    </row>
    <row r="15" spans="1:13">
      <c r="A15" s="105" t="inlineStr">
        <is>
          <t>9/2026</t>
        </is>
      </c>
      <c r="B15" s="58">
        <f>SUMPRODUCT(--('تخدير ومونيتور'!$E$9:$E$13&amp;""="1"))</f>
        <v>5</v>
      </c>
      <c r="C15" s="58">
        <f>SUMPRODUCT(--('تخدير ومونيتور'!$E$9:$E$13&amp;""="1"))+SUMPRODUCT(--('تخدير ومونيتور'!$E$9:$E$13&amp;""="0"))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72" t="s">
        <v>19</v>
      </c>
      <c r="B24" s="172"/>
      <c r="C24" s="172"/>
      <c r="D24" s="66">
        <f>AVERAGE(D13:D23)</f>
        <v>1</v>
      </c>
      <c r="E24" s="1" t="s">
        <v>75</v>
      </c>
    </row>
    <row r="25" spans="1:13" s="48" customFormat="1">
      <c r="A25" s="53"/>
      <c r="B25" s="53"/>
      <c r="C25" s="53"/>
      <c r="D25" s="65"/>
    </row>
    <row r="26" spans="1:13" ht="23.45" customHeight="1">
      <c r="A26" s="54" t="s">
        <v>17</v>
      </c>
      <c r="B26" s="171" t="s">
        <v>20</v>
      </c>
      <c r="C26" s="171"/>
      <c r="D26" s="171"/>
      <c r="E26" s="171" t="s">
        <v>21</v>
      </c>
      <c r="F26" s="171"/>
      <c r="G26" s="171"/>
      <c r="H26" s="171"/>
      <c r="I26" s="171"/>
      <c r="J26" s="171"/>
      <c r="K26" s="171" t="s">
        <v>22</v>
      </c>
      <c r="L26" s="171"/>
      <c r="M26" s="54" t="s">
        <v>23</v>
      </c>
    </row>
    <row r="27" spans="1:13" ht="38.450000000000003" customHeight="1">
      <c r="A27" s="30"/>
      <c r="B27" s="137"/>
      <c r="C27" s="137"/>
      <c r="D27" s="137"/>
      <c r="E27" s="137"/>
      <c r="F27" s="137"/>
      <c r="G27" s="137"/>
      <c r="H27" s="137"/>
      <c r="I27" s="137"/>
      <c r="J27" s="137"/>
      <c r="K27" s="137"/>
      <c r="L27" s="137"/>
      <c r="M27" s="37"/>
    </row>
    <row r="28" spans="1:13" ht="41.45" customHeight="1">
      <c r="A28" s="32"/>
      <c r="B28" s="119"/>
      <c r="C28" s="119"/>
      <c r="D28" s="119"/>
      <c r="E28" s="136"/>
      <c r="F28" s="136"/>
      <c r="G28" s="136"/>
      <c r="H28" s="136"/>
      <c r="I28" s="136"/>
      <c r="J28" s="136"/>
      <c r="K28" s="136"/>
      <c r="L28" s="136"/>
      <c r="M28" s="39"/>
    </row>
    <row r="29" spans="1:13" ht="44.1" customHeight="1">
      <c r="A29" s="30"/>
      <c r="B29" s="137"/>
      <c r="C29" s="137"/>
      <c r="D29" s="137"/>
      <c r="E29" s="137"/>
      <c r="F29" s="137"/>
      <c r="G29" s="137"/>
      <c r="H29" s="137"/>
      <c r="I29" s="137"/>
      <c r="J29" s="137"/>
      <c r="K29" s="137"/>
      <c r="L29" s="137"/>
      <c r="M29" s="37"/>
    </row>
    <row r="30" spans="1:13" ht="39" customHeight="1">
      <c r="A30" s="32"/>
      <c r="B30" s="119"/>
      <c r="C30" s="119"/>
      <c r="D30" s="119"/>
      <c r="E30" s="136"/>
      <c r="F30" s="136"/>
      <c r="G30" s="136"/>
      <c r="H30" s="136"/>
      <c r="I30" s="136"/>
      <c r="J30" s="136"/>
      <c r="K30" s="136"/>
      <c r="L30" s="136"/>
      <c r="M30" s="39"/>
    </row>
    <row r="31" spans="1:13" ht="44.45" customHeight="1">
      <c r="A31" s="30"/>
      <c r="B31" s="137"/>
      <c r="C31" s="137"/>
      <c r="D31" s="137"/>
      <c r="E31" s="137"/>
      <c r="F31" s="137"/>
      <c r="G31" s="137"/>
      <c r="H31" s="137"/>
      <c r="I31" s="137"/>
      <c r="J31" s="137"/>
      <c r="K31" s="137"/>
      <c r="L31" s="137"/>
      <c r="M31" s="37"/>
    </row>
    <row r="32" spans="1:13" ht="38.25" customHeight="1">
      <c r="A32" s="32"/>
      <c r="B32" s="119"/>
      <c r="C32" s="119"/>
      <c r="D32" s="119"/>
      <c r="E32" s="136"/>
      <c r="F32" s="136"/>
      <c r="G32" s="136"/>
      <c r="H32" s="136"/>
      <c r="I32" s="136"/>
      <c r="J32" s="136"/>
      <c r="K32" s="136"/>
      <c r="L32" s="136"/>
      <c r="M32" s="39"/>
    </row>
    <row r="33" spans="1:13" ht="43.5" customHeight="1">
      <c r="A33" s="30"/>
      <c r="B33" s="137"/>
      <c r="C33" s="137"/>
      <c r="D33" s="137"/>
      <c r="E33" s="137"/>
      <c r="F33" s="137"/>
      <c r="G33" s="137"/>
      <c r="H33" s="137"/>
      <c r="I33" s="137"/>
      <c r="J33" s="137"/>
      <c r="K33" s="137"/>
      <c r="L33" s="137"/>
      <c r="M33" s="37"/>
    </row>
    <row r="34" spans="1:13" ht="39" customHeight="1">
      <c r="A34" s="55"/>
      <c r="B34" s="119"/>
      <c r="C34" s="119"/>
      <c r="D34" s="119"/>
      <c r="E34" s="136"/>
      <c r="F34" s="136"/>
      <c r="G34" s="136"/>
      <c r="H34" s="136"/>
      <c r="I34" s="136"/>
      <c r="J34" s="136"/>
      <c r="K34" s="136"/>
      <c r="L34" s="136"/>
      <c r="M34" s="39"/>
    </row>
    <row r="35" spans="1:13" ht="44.45" customHeight="1">
      <c r="A35" s="49"/>
      <c r="B35" s="137"/>
      <c r="C35" s="137"/>
      <c r="D35" s="137"/>
      <c r="E35" s="137"/>
      <c r="F35" s="137"/>
      <c r="G35" s="137"/>
      <c r="H35" s="137"/>
      <c r="I35" s="137"/>
      <c r="J35" s="137"/>
      <c r="K35" s="137"/>
      <c r="L35" s="137"/>
      <c r="M35" s="37"/>
    </row>
    <row r="36" spans="1:13" ht="38.25" customHeight="1">
      <c r="A36" s="55"/>
      <c r="B36" s="119"/>
      <c r="C36" s="119"/>
      <c r="D36" s="119"/>
      <c r="E36" s="136"/>
      <c r="F36" s="136"/>
      <c r="G36" s="136"/>
      <c r="H36" s="136"/>
      <c r="I36" s="136"/>
      <c r="J36" s="136"/>
      <c r="K36" s="136"/>
      <c r="L36" s="136"/>
      <c r="M36" s="39"/>
    </row>
    <row r="37" spans="1:13" ht="44.45" customHeight="1">
      <c r="A37" s="49"/>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6" orientation="landscape"/>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sheetPr>
  <dimension ref="A1:O14"/>
  <sheetViews>
    <sheetView zoomScale="71" zoomScaleNormal="71" workbookViewId="0">
      <selection activeCell="E9" sqref="E9:E13"/>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5">
      <c r="A1" s="25" t="s">
        <v>0</v>
      </c>
      <c r="C1" s="3"/>
      <c r="D1" s="3"/>
      <c r="E1" s="3"/>
      <c r="F1" s="3"/>
      <c r="M1" s="3" t="s">
        <v>1</v>
      </c>
    </row>
    <row r="2" spans="1:15">
      <c r="A2" s="25" t="s">
        <v>2</v>
      </c>
      <c r="C2" s="3"/>
      <c r="D2" s="3"/>
      <c r="E2" s="3"/>
      <c r="F2" s="3"/>
      <c r="M2" s="3" t="s">
        <v>3</v>
      </c>
    </row>
    <row r="3" spans="1:15">
      <c r="A3" s="25" t="s">
        <v>24</v>
      </c>
      <c r="C3" s="3"/>
      <c r="D3" s="3"/>
      <c r="E3" s="3"/>
      <c r="F3" s="3"/>
      <c r="J3" s="3"/>
      <c r="L3" s="3"/>
      <c r="M3" s="3" t="s">
        <v>5</v>
      </c>
    </row>
    <row r="4" spans="1:15">
      <c r="A4" s="3"/>
      <c r="C4" s="3"/>
      <c r="D4" s="3"/>
      <c r="E4" s="3"/>
      <c r="F4" s="3"/>
      <c r="G4" s="3"/>
    </row>
    <row r="5" spans="1:15">
      <c r="C5" s="42"/>
      <c r="D5" s="42"/>
      <c r="E5" s="42"/>
      <c r="F5" s="42"/>
      <c r="G5" s="42"/>
    </row>
    <row r="6" spans="1:15" ht="30" customHeight="1">
      <c r="A6" s="107" t="s">
        <v>121</v>
      </c>
      <c r="B6" s="107"/>
      <c r="C6" s="107"/>
      <c r="D6" s="107"/>
      <c r="E6" s="107"/>
      <c r="F6" s="107"/>
      <c r="G6" s="107"/>
      <c r="H6" s="107"/>
      <c r="I6" s="107"/>
      <c r="J6" s="107"/>
      <c r="K6" s="107"/>
      <c r="L6" s="107"/>
      <c r="M6" s="107"/>
      <c r="N6" s="47"/>
      <c r="O6" s="47"/>
    </row>
    <row r="7" spans="1:15" ht="24.95" customHeight="1">
      <c r="A7" s="135" t="s">
        <v>7</v>
      </c>
      <c r="B7" s="135" t="s">
        <v>8</v>
      </c>
      <c r="C7" s="139" t="s">
        <v>26</v>
      </c>
      <c r="D7" s="138"/>
      <c r="E7" s="138"/>
      <c r="F7" s="138"/>
      <c r="G7" s="138"/>
      <c r="H7" s="138"/>
      <c r="I7" s="138"/>
      <c r="J7" s="138"/>
      <c r="K7" s="138"/>
      <c r="L7" s="138"/>
      <c r="M7" s="138"/>
    </row>
    <row r="8" spans="1:15" ht="24.95" customHeight="1">
      <c r="A8" s="135"/>
      <c r="B8" s="135"/>
      <c r="C8" s="43" t="s">
        <v>177</v>
      </c>
      <c r="D8" s="43" t="s">
        <v>179</v>
      </c>
      <c r="E8" s="43" t="s">
        <v>178</v>
      </c>
      <c r="F8" s="43" t="s">
        <v>180</v>
      </c>
      <c r="G8" s="43"/>
      <c r="H8" s="43"/>
      <c r="I8" s="43"/>
      <c r="J8" s="43"/>
      <c r="K8" s="43"/>
      <c r="L8" s="43"/>
      <c r="M8" s="43"/>
    </row>
    <row r="9" spans="1:15" ht="20.100000000000001" customHeight="1">
      <c r="A9" s="26">
        <v>1</v>
      </c>
      <c r="B9" s="44" t="s">
        <v>108</v>
      </c>
      <c r="C9" s="26">
        <v>1</v>
      </c>
      <c r="D9" s="26">
        <v>1</v>
      </c>
      <c r="E9" s="26">
        <v>1</v>
      </c>
      <c r="F9" s="26"/>
      <c r="G9" s="26"/>
      <c r="H9" s="26"/>
      <c r="I9" s="26"/>
      <c r="J9" s="26"/>
      <c r="K9" s="26"/>
      <c r="L9" s="26"/>
      <c r="M9" s="26"/>
    </row>
    <row r="10" spans="1:15" ht="35.25" customHeight="1">
      <c r="A10" s="27">
        <v>2</v>
      </c>
      <c r="B10" s="45" t="s">
        <v>109</v>
      </c>
      <c r="C10" s="27">
        <v>1</v>
      </c>
      <c r="D10" s="26">
        <v>1</v>
      </c>
      <c r="E10" s="26">
        <v>1</v>
      </c>
      <c r="F10" s="27"/>
      <c r="G10" s="27"/>
      <c r="H10" s="27"/>
      <c r="I10" s="27"/>
      <c r="J10" s="27"/>
      <c r="K10" s="27"/>
      <c r="L10" s="27"/>
      <c r="M10" s="27"/>
    </row>
    <row r="11" spans="1:15" ht="21.75" customHeight="1">
      <c r="A11" s="26">
        <v>3</v>
      </c>
      <c r="B11" s="44" t="s">
        <v>110</v>
      </c>
      <c r="C11" s="26">
        <v>1</v>
      </c>
      <c r="D11" s="26">
        <v>1</v>
      </c>
      <c r="E11" s="26">
        <v>1</v>
      </c>
      <c r="F11" s="26"/>
      <c r="G11" s="26"/>
      <c r="H11" s="26"/>
      <c r="I11" s="26"/>
      <c r="J11" s="26"/>
      <c r="K11" s="26"/>
      <c r="L11" s="26"/>
      <c r="M11" s="26"/>
    </row>
    <row r="12" spans="1:15" ht="20.100000000000001" customHeight="1">
      <c r="A12" s="27">
        <v>4</v>
      </c>
      <c r="B12" s="45" t="s">
        <v>82</v>
      </c>
      <c r="C12" s="27">
        <v>1</v>
      </c>
      <c r="D12" s="26">
        <v>1</v>
      </c>
      <c r="E12" s="26">
        <v>1</v>
      </c>
      <c r="F12" s="27"/>
      <c r="G12" s="27"/>
      <c r="H12" s="27"/>
      <c r="I12" s="27"/>
      <c r="J12" s="27"/>
      <c r="K12" s="27"/>
      <c r="L12" s="27"/>
      <c r="M12" s="27"/>
    </row>
    <row r="13" spans="1:15">
      <c r="A13" s="26">
        <v>5</v>
      </c>
      <c r="B13" s="44" t="s">
        <v>111</v>
      </c>
      <c r="C13" s="26">
        <v>1</v>
      </c>
      <c r="D13" s="26">
        <v>1</v>
      </c>
      <c r="E13" s="26">
        <v>1</v>
      </c>
      <c r="F13" s="26"/>
      <c r="G13" s="26"/>
      <c r="H13" s="26"/>
      <c r="I13" s="26"/>
      <c r="J13" s="26"/>
      <c r="K13" s="26"/>
      <c r="L13" s="26"/>
      <c r="M13" s="26"/>
    </row>
    <row r="14" spans="1:15" ht="20.100000000000001" customHeight="1">
      <c r="A14" s="108" t="s">
        <v>10</v>
      </c>
      <c r="B14" s="108"/>
      <c r="C14" s="46">
        <f>AVERAGE(C9:C13)</f>
        <v>1</v>
      </c>
      <c r="D14" s="46">
        <v>1</v>
      </c>
      <c r="E14" s="46">
        <v>1</v>
      </c>
      <c r="F14" s="46" t="e">
        <f>AVERAGE(F9:F13)</f>
        <v>#DIV/0!</v>
      </c>
      <c r="G14" s="46" t="str">
        <f>IFERROR(AVERAGE(G9:G13),"-")</f>
        <v>-</v>
      </c>
      <c r="H14" s="46" t="str">
        <f t="shared" ref="H14" si="0">IFERROR(AVERAGE(H9:H13),"-")</f>
        <v>-</v>
      </c>
      <c r="I14" s="46" t="e">
        <f>AVERAGE(I9:I13)</f>
        <v>#DIV/0!</v>
      </c>
      <c r="J14" s="46" t="e">
        <f>AVERAGE(J9:J13)</f>
        <v>#DIV/0!</v>
      </c>
      <c r="K14" s="46" t="e">
        <f>AVERAGE(K9:K13)</f>
        <v>#DIV/0!</v>
      </c>
      <c r="L14" s="46" t="str">
        <f>IFERROR(AVERAGE(L9:L13),"-")</f>
        <v>-</v>
      </c>
      <c r="M14" s="46" t="str">
        <f t="shared" ref="M14" si="1">IFERROR(AVERAGE(M9:M13),"-")</f>
        <v>-</v>
      </c>
    </row>
  </sheetData>
  <mergeCells count="5">
    <mergeCell ref="A6:M6"/>
    <mergeCell ref="C7:M7"/>
    <mergeCell ref="A14:B14"/>
    <mergeCell ref="A7:A8"/>
    <mergeCell ref="B7:B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C59A475E-9FF6-45FC-97AE-6EABABF88C67}">
            <xm:f>NOT(ISERROR(SEARCH(0,C9)))</xm:f>
            <xm:f>0</xm:f>
            <x14:dxf>
              <font>
                <color theme="0"/>
              </font>
              <fill>
                <patternFill patternType="solid">
                  <bgColor rgb="FFC00000"/>
                </patternFill>
              </fill>
            </x14:dxf>
          </x14:cfRule>
          <xm:sqref>C9:M13</xm:sqref>
        </x14:conditionalFormatting>
      </x14:conditionalFormatting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00"/>
    <pageSetUpPr fitToPage="1"/>
  </sheetPr>
  <dimension ref="A1:M37"/>
  <sheetViews>
    <sheetView zoomScale="60" zoomScaleNormal="60" workbookViewId="0">
      <selection activeCell="A13" sqref="A13:C15"/>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24</v>
      </c>
      <c r="C3" s="3"/>
      <c r="D3" s="3"/>
      <c r="E3" s="3"/>
      <c r="F3" s="3"/>
      <c r="J3" s="3"/>
      <c r="L3" s="3"/>
      <c r="M3" s="3" t="s">
        <v>5</v>
      </c>
    </row>
    <row r="4" spans="1:13">
      <c r="A4" s="3"/>
      <c r="M4" s="3"/>
    </row>
    <row r="6" spans="1:13" ht="32.1" customHeight="1">
      <c r="A6" s="107" t="s">
        <v>121</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105" t="inlineStr">
        <is>
          <t>3/2026</t>
        </is>
      </c>
      <c r="B13" s="58">
        <f>SUMPRODUCT(--('حضانات'!$C$9:$C$13&amp;""="1"))</f>
        <v>5</v>
      </c>
      <c r="C13" s="58">
        <f>SUMPRODUCT(--('حضانات'!$C$9:$C$13&amp;""="1"))+SUMPRODUCT(--('حضانات'!$C$9:$C$13&amp;""="0"))</f>
        <v>5</v>
      </c>
      <c r="D13" s="59">
        <f>IFERROR(B13/C13,"")</f>
        <v>1</v>
      </c>
    </row>
    <row r="14" spans="1:13">
      <c r="A14" s="105" t="inlineStr">
        <is>
          <t>6/2026</t>
        </is>
      </c>
      <c r="B14" s="58">
        <f>SUMPRODUCT(--('حضانات'!$D$9:$D$13&amp;""="1"))</f>
        <v>5</v>
      </c>
      <c r="C14" s="58">
        <f>SUMPRODUCT(--('حضانات'!$D$9:$D$13&amp;""="1"))+SUMPRODUCT(--('حضانات'!$D$9:$D$13&amp;""="0"))</f>
        <v>5</v>
      </c>
      <c r="D14" s="59">
        <f>IFERROR(B14/C14,"")</f>
        <v>1</v>
      </c>
    </row>
    <row r="15" spans="1:13">
      <c r="A15" s="105" t="inlineStr">
        <is>
          <t>9/2026</t>
        </is>
      </c>
      <c r="B15" s="58">
        <f>SUMPRODUCT(--('حضانات'!$E$9:$E$13&amp;""="1"))</f>
        <v>5</v>
      </c>
      <c r="C15" s="58">
        <f>SUMPRODUCT(--('حضانات'!$E$9:$E$13&amp;""="1"))+SUMPRODUCT(--('حضانات'!$E$9:$E$13&amp;""="0"))</f>
        <v>5</v>
      </c>
      <c r="D15" s="59">
        <f>IFERROR(B15/C15,"")</f>
        <v>1</v>
      </c>
    </row>
    <row r="16" spans="1:13">
      <c r="A16" s="51"/>
      <c r="B16" s="58"/>
      <c r="C16" s="58"/>
      <c r="D16" s="59" t="str">
        <f>IFERROR(B16/C16,"")</f>
        <v/>
      </c>
    </row>
    <row r="17" spans="1:13">
      <c r="A17" s="51"/>
      <c r="B17" s="58"/>
      <c r="C17" s="58"/>
      <c r="D17" s="59" t="str">
        <f>IFERROR(B17/C17,"")</f>
        <v/>
      </c>
    </row>
    <row r="18" spans="1:13">
      <c r="A18" s="51"/>
      <c r="B18" s="58"/>
      <c r="C18" s="58"/>
      <c r="D18" s="59" t="str">
        <f>IFERROR(B18/C18,"")</f>
        <v/>
      </c>
    </row>
    <row r="19" spans="1:13">
      <c r="A19" s="51"/>
      <c r="B19" s="58"/>
      <c r="C19" s="58"/>
      <c r="D19" s="59" t="str">
        <f>IFERROR(B19/C19,"")</f>
        <v/>
      </c>
    </row>
    <row r="20" spans="1:13">
      <c r="A20" s="52"/>
      <c r="B20" s="58"/>
      <c r="C20" s="58"/>
      <c r="D20" s="59" t="str">
        <f>IFERROR(B20/C20,"")</f>
        <v/>
      </c>
    </row>
    <row r="21" spans="1:13">
      <c r="A21" s="52"/>
      <c r="B21" s="58"/>
      <c r="C21" s="58"/>
      <c r="D21" s="59" t="str">
        <f>IFERROR(B21/C21,"")</f>
        <v/>
      </c>
    </row>
    <row r="22" spans="1:13">
      <c r="A22" s="52"/>
      <c r="B22" s="58"/>
      <c r="C22" s="58"/>
      <c r="D22" s="59" t="str">
        <f>IFERROR(B22/C22,"")</f>
        <v/>
      </c>
    </row>
    <row r="23" spans="1:13">
      <c r="A23" s="52"/>
      <c r="B23" s="58"/>
      <c r="C23" s="58"/>
      <c r="D23" s="59" t="str">
        <f>IFERROR(B23/C23,"")</f>
        <v/>
      </c>
    </row>
    <row r="24" spans="1:13">
      <c r="A24" s="172" t="s">
        <v>19</v>
      </c>
      <c r="B24" s="172"/>
      <c r="C24" s="172"/>
      <c r="D24" s="66">
        <f>AVERAGE(D13:D23)</f>
        <v>1</v>
      </c>
      <c r="E24" s="1" t="s">
        <v>75</v>
      </c>
    </row>
    <row r="25" spans="1:13" s="48" customFormat="1">
      <c r="A25" s="53"/>
      <c r="B25" s="53"/>
      <c r="C25" s="53"/>
      <c r="D25" s="65"/>
    </row>
    <row r="26" spans="1:13" ht="23.45" customHeight="1">
      <c r="A26" s="54" t="s">
        <v>17</v>
      </c>
      <c r="B26" s="171" t="s">
        <v>20</v>
      </c>
      <c r="C26" s="171"/>
      <c r="D26" s="171"/>
      <c r="E26" s="171" t="s">
        <v>21</v>
      </c>
      <c r="F26" s="171"/>
      <c r="G26" s="171"/>
      <c r="H26" s="171"/>
      <c r="I26" s="171"/>
      <c r="J26" s="171"/>
      <c r="K26" s="171" t="s">
        <v>22</v>
      </c>
      <c r="L26" s="171"/>
      <c r="M26" s="54" t="s">
        <v>23</v>
      </c>
    </row>
    <row r="27" spans="1:13" ht="38.450000000000003" customHeight="1">
      <c r="A27" s="30"/>
      <c r="B27" s="137"/>
      <c r="C27" s="137"/>
      <c r="D27" s="137"/>
      <c r="E27" s="137"/>
      <c r="F27" s="137"/>
      <c r="G27" s="137"/>
      <c r="H27" s="137"/>
      <c r="I27" s="137"/>
      <c r="J27" s="137"/>
      <c r="K27" s="137"/>
      <c r="L27" s="137"/>
      <c r="M27" s="37"/>
    </row>
    <row r="28" spans="1:13" ht="41.45" customHeight="1">
      <c r="A28" s="32"/>
      <c r="B28" s="119"/>
      <c r="C28" s="119"/>
      <c r="D28" s="119"/>
      <c r="E28" s="136"/>
      <c r="F28" s="136"/>
      <c r="G28" s="136"/>
      <c r="H28" s="136"/>
      <c r="I28" s="136"/>
      <c r="J28" s="136"/>
      <c r="K28" s="136"/>
      <c r="L28" s="136"/>
      <c r="M28" s="39"/>
    </row>
    <row r="29" spans="1:13" ht="44.1" customHeight="1">
      <c r="A29" s="30"/>
      <c r="B29" s="137"/>
      <c r="C29" s="137"/>
      <c r="D29" s="137"/>
      <c r="E29" s="137"/>
      <c r="F29" s="137"/>
      <c r="G29" s="137"/>
      <c r="H29" s="137"/>
      <c r="I29" s="137"/>
      <c r="J29" s="137"/>
      <c r="K29" s="137"/>
      <c r="L29" s="137"/>
      <c r="M29" s="37"/>
    </row>
    <row r="30" spans="1:13" ht="39" customHeight="1">
      <c r="A30" s="32"/>
      <c r="B30" s="119"/>
      <c r="C30" s="119"/>
      <c r="D30" s="119"/>
      <c r="E30" s="136"/>
      <c r="F30" s="136"/>
      <c r="G30" s="136"/>
      <c r="H30" s="136"/>
      <c r="I30" s="136"/>
      <c r="J30" s="136"/>
      <c r="K30" s="136"/>
      <c r="L30" s="136"/>
      <c r="M30" s="39"/>
    </row>
    <row r="31" spans="1:13" ht="44.45" customHeight="1">
      <c r="A31" s="30"/>
      <c r="B31" s="137"/>
      <c r="C31" s="137"/>
      <c r="D31" s="137"/>
      <c r="E31" s="137"/>
      <c r="F31" s="137"/>
      <c r="G31" s="137"/>
      <c r="H31" s="137"/>
      <c r="I31" s="137"/>
      <c r="J31" s="137"/>
      <c r="K31" s="137"/>
      <c r="L31" s="137"/>
      <c r="M31" s="37"/>
    </row>
    <row r="32" spans="1:13" ht="38.25" customHeight="1">
      <c r="A32" s="32"/>
      <c r="B32" s="119"/>
      <c r="C32" s="119"/>
      <c r="D32" s="119"/>
      <c r="E32" s="136"/>
      <c r="F32" s="136"/>
      <c r="G32" s="136"/>
      <c r="H32" s="136"/>
      <c r="I32" s="136"/>
      <c r="J32" s="136"/>
      <c r="K32" s="136"/>
      <c r="L32" s="136"/>
      <c r="M32" s="39"/>
    </row>
    <row r="33" spans="1:13" ht="43.5" customHeight="1">
      <c r="A33" s="30"/>
      <c r="B33" s="137"/>
      <c r="C33" s="137"/>
      <c r="D33" s="137"/>
      <c r="E33" s="137"/>
      <c r="F33" s="137"/>
      <c r="G33" s="137"/>
      <c r="H33" s="137"/>
      <c r="I33" s="137"/>
      <c r="J33" s="137"/>
      <c r="K33" s="137"/>
      <c r="L33" s="137"/>
      <c r="M33" s="37"/>
    </row>
    <row r="34" spans="1:13" ht="39" customHeight="1">
      <c r="A34" s="55"/>
      <c r="B34" s="119"/>
      <c r="C34" s="119"/>
      <c r="D34" s="119"/>
      <c r="E34" s="136"/>
      <c r="F34" s="136"/>
      <c r="G34" s="136"/>
      <c r="H34" s="136"/>
      <c r="I34" s="136"/>
      <c r="J34" s="136"/>
      <c r="K34" s="136"/>
      <c r="L34" s="136"/>
      <c r="M34" s="39"/>
    </row>
    <row r="35" spans="1:13" ht="44.45" customHeight="1">
      <c r="A35" s="56"/>
      <c r="B35" s="137"/>
      <c r="C35" s="137"/>
      <c r="D35" s="137"/>
      <c r="E35" s="137"/>
      <c r="F35" s="137"/>
      <c r="G35" s="137"/>
      <c r="H35" s="137"/>
      <c r="I35" s="137"/>
      <c r="J35" s="137"/>
      <c r="K35" s="137"/>
      <c r="L35" s="137"/>
      <c r="M35" s="37"/>
    </row>
    <row r="36" spans="1:13" ht="38.25" customHeight="1">
      <c r="A36" s="57"/>
      <c r="B36" s="119"/>
      <c r="C36" s="119"/>
      <c r="D36" s="119"/>
      <c r="E36" s="136"/>
      <c r="F36" s="136"/>
      <c r="G36" s="136"/>
      <c r="H36" s="136"/>
      <c r="I36" s="136"/>
      <c r="J36" s="136"/>
      <c r="K36" s="136"/>
      <c r="L36" s="136"/>
      <c r="M36" s="39"/>
    </row>
    <row r="37" spans="1:13" ht="44.45" customHeight="1">
      <c r="A37" s="56"/>
      <c r="B37" s="137"/>
      <c r="C37" s="137"/>
      <c r="D37" s="137"/>
      <c r="E37" s="137"/>
      <c r="F37" s="137"/>
      <c r="G37" s="137"/>
      <c r="H37" s="137"/>
      <c r="I37" s="137"/>
      <c r="J37" s="137"/>
      <c r="K37" s="137"/>
      <c r="L37" s="137"/>
      <c r="M37" s="37"/>
    </row>
  </sheetData>
  <mergeCells count="41">
    <mergeCell ref="A6:M6"/>
    <mergeCell ref="B8:D8"/>
    <mergeCell ref="B9:D9"/>
    <mergeCell ref="B10:D10"/>
    <mergeCell ref="A24:C24"/>
    <mergeCell ref="B26:D26"/>
    <mergeCell ref="E26:J26"/>
    <mergeCell ref="K26:L26"/>
    <mergeCell ref="B27:D27"/>
    <mergeCell ref="E27:J27"/>
    <mergeCell ref="K27:L27"/>
    <mergeCell ref="B28:D28"/>
    <mergeCell ref="E28:J28"/>
    <mergeCell ref="K28:L28"/>
    <mergeCell ref="B29:D29"/>
    <mergeCell ref="E29:J29"/>
    <mergeCell ref="K29:L29"/>
    <mergeCell ref="B30:D30"/>
    <mergeCell ref="E30:J30"/>
    <mergeCell ref="K30:L30"/>
    <mergeCell ref="B31:D31"/>
    <mergeCell ref="E31:J31"/>
    <mergeCell ref="K31:L31"/>
    <mergeCell ref="B32:D32"/>
    <mergeCell ref="E32:J32"/>
    <mergeCell ref="K32:L32"/>
    <mergeCell ref="B33:D33"/>
    <mergeCell ref="E33:J33"/>
    <mergeCell ref="K33:L33"/>
    <mergeCell ref="B34:D34"/>
    <mergeCell ref="E34:J34"/>
    <mergeCell ref="K34:L34"/>
    <mergeCell ref="B35:D35"/>
    <mergeCell ref="E35:J35"/>
    <mergeCell ref="K35:L35"/>
    <mergeCell ref="B36:D36"/>
    <mergeCell ref="E36:J36"/>
    <mergeCell ref="K36:L36"/>
    <mergeCell ref="B37:D37"/>
    <mergeCell ref="E37:J37"/>
    <mergeCell ref="K37:L37"/>
  </mergeCells>
  <printOptions horizontalCentered="1"/>
  <pageMargins left="0.70866141732283505" right="0.70866141732283505" top="0.74803149606299202" bottom="0.74803149606299202" header="0.31496062992126" footer="0.31496062992126"/>
  <pageSetup paperSize="9" scale="76"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C8B6-3F17-4C82-97F6-79D0A9A028C2}">
  <sheetPr>
    <tabColor rgb="FFFFFF00"/>
  </sheetPr>
  <dimension ref="A1"/>
  <sheetViews>
    <sheetView workbookViewId="0"/>
  </sheetViews>
  <sheetFormatPr defaultRowHeight="1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A298-D947-438E-91D8-E7708D3A0C2D}">
  <sheetPr>
    <tabColor rgb="FFFFFF00"/>
  </sheetPr>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48E9-B0B4-492B-9BEC-D6EAB14F7377}">
  <sheetPr>
    <tabColor rgb="FFFFFF00"/>
  </sheetPr>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85E2A-F5E0-452A-8A9F-DE010D4B8CE6}">
  <sheetPr>
    <tabColor rgb="FFFFFF00"/>
  </sheetPr>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3428-E04D-4C12-8739-0FF480265FCC}">
  <sheetPr>
    <tabColor rgb="FFFFFF00"/>
  </sheetPr>
  <dimension ref="A1"/>
  <sheetViews>
    <sheetView workbookViewId="0"/>
  </sheetViews>
  <sheetFormatPr defaultRowHeight="1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14D9-6D01-42D0-851C-7CFFDC9A46E2}">
  <sheetPr>
    <tabColor rgb="FFFFFF00"/>
  </sheetPr>
  <dimension ref="A1"/>
  <sheetViews>
    <sheetView workbookViewId="0"/>
  </sheetViews>
  <sheetFormatPr defaultRowHeight="1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1EDA-BD0D-4845-B725-D83DBAF6B3E5}">
  <sheetPr>
    <tabColor rgb="FFFFFF00"/>
  </sheetPr>
  <dimension ref="A1"/>
  <sheetViews>
    <sheetView workbookViewId="0"/>
  </sheetViews>
  <sheetFormatPr defaultRowHeight="1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F892D-929E-43EC-832F-1BCEE0F51C31}">
  <sheetPr>
    <tabColor rgb="FFFFFF00"/>
  </sheetPr>
  <dimension ref="A1"/>
  <sheetViews>
    <sheetView workbookViewId="0"/>
  </sheetViews>
  <sheetFormatPr defaultRowHeight="1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1646-3085-4235-92FA-D6249BC04324}">
  <sheetPr>
    <tabColor rgb="FFFFFF00"/>
  </sheetPr>
  <dimension ref="A1"/>
  <sheetViews>
    <sheetView workbookViewId="0"/>
  </sheetViews>
  <sheetFormatPr defaultRowHeight="1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6D74-4DA3-448C-97BA-9A2673D915C1}">
  <sheetPr>
    <tabColor rgb="FFFFFF00"/>
  </sheetPr>
  <dimension ref="A1"/>
  <sheetViews>
    <sheetView workbookViewId="0"/>
  </sheetViews>
  <sheetFormatPr defaultRowHeight="1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6B37-7261-4F35-A4C2-ED2FCB23B118}">
  <sheetPr>
    <tabColor rgb="FFFFFF00"/>
  </sheetPr>
  <dimension ref="A1"/>
  <sheetViews>
    <sheetView workbookViewId="0"/>
  </sheetViews>
  <sheetFormatPr defaultRowHeight="1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C34"/>
  <sheetViews>
    <sheetView topLeftCell="A4" zoomScale="74" zoomScaleNormal="74" workbookViewId="0">
      <selection activeCell="B14" sqref="B14"/>
    </sheetView>
  </sheetViews>
  <sheetFormatPr defaultColWidth="8.85546875" defaultRowHeight="15.75"/>
  <cols>
    <col min="1" max="14" width="12.5703125" style="1" customWidth="1"/>
    <col min="15" max="20" width="14.42578125" style="1" customWidth="1"/>
    <col min="21" max="22" width="8.85546875" style="1" customWidth="1"/>
    <col min="23" max="23" width="15" style="1" customWidth="1"/>
    <col min="24" max="24" width="12.42578125" style="1" customWidth="1"/>
    <col min="25" max="27" width="8.85546875" style="1"/>
    <col min="28" max="28" width="13" style="1" customWidth="1"/>
    <col min="29" max="16384" width="8.85546875" style="1"/>
  </cols>
  <sheetData>
    <row r="1" spans="1:29">
      <c r="A1" s="25" t="s">
        <v>0</v>
      </c>
      <c r="B1" s="25"/>
      <c r="C1" s="25"/>
      <c r="D1" s="25"/>
      <c r="E1" s="25"/>
      <c r="F1" s="25"/>
      <c r="G1" s="25"/>
      <c r="H1" s="25"/>
      <c r="I1" s="25"/>
      <c r="J1" s="25"/>
      <c r="K1" s="25"/>
      <c r="L1" s="25"/>
      <c r="M1" s="25"/>
      <c r="N1" s="25"/>
      <c r="AC1" s="3" t="s">
        <v>1</v>
      </c>
    </row>
    <row r="2" spans="1:29">
      <c r="A2" s="25" t="s">
        <v>2</v>
      </c>
      <c r="B2" s="25"/>
      <c r="C2" s="25"/>
      <c r="D2" s="25"/>
      <c r="E2" s="25"/>
      <c r="F2" s="25"/>
      <c r="G2" s="25"/>
      <c r="H2" s="25"/>
      <c r="I2" s="25"/>
      <c r="J2" s="25"/>
      <c r="K2" s="25"/>
      <c r="L2" s="25"/>
      <c r="M2" s="25"/>
      <c r="N2" s="25"/>
      <c r="AC2" s="3" t="s">
        <v>3</v>
      </c>
    </row>
    <row r="3" spans="1:29">
      <c r="A3" s="25" t="s">
        <v>24</v>
      </c>
      <c r="C3" s="3"/>
      <c r="D3" s="3"/>
      <c r="E3" s="3"/>
      <c r="I3" s="3"/>
      <c r="K3" s="3"/>
      <c r="L3" s="3"/>
      <c r="AC3" s="3" t="s">
        <v>5</v>
      </c>
    </row>
    <row r="4" spans="1:29">
      <c r="A4" s="3"/>
      <c r="B4" s="3"/>
      <c r="C4" s="3"/>
      <c r="D4" s="3"/>
      <c r="E4" s="3"/>
      <c r="F4" s="3"/>
      <c r="G4" s="3"/>
      <c r="H4" s="3"/>
      <c r="I4" s="3"/>
      <c r="J4" s="3"/>
      <c r="K4" s="3"/>
      <c r="L4" s="3"/>
      <c r="M4" s="3"/>
      <c r="N4" s="3"/>
      <c r="AC4" s="3"/>
    </row>
    <row r="6" spans="1:29" ht="32.1" customHeight="1">
      <c r="A6" s="107" t="s">
        <v>122</v>
      </c>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row>
    <row r="8" spans="1:29">
      <c r="A8" s="26" t="s">
        <v>12</v>
      </c>
      <c r="B8" s="173" t="s">
        <v>13</v>
      </c>
      <c r="C8" s="174"/>
      <c r="D8" s="175"/>
      <c r="E8" s="7"/>
      <c r="F8" s="7"/>
      <c r="G8" s="7"/>
      <c r="H8" s="7"/>
    </row>
    <row r="9" spans="1:29">
      <c r="A9" s="26" t="s">
        <v>14</v>
      </c>
      <c r="B9" s="173" t="s">
        <v>15</v>
      </c>
      <c r="C9" s="174"/>
      <c r="D9" s="175"/>
      <c r="E9" s="7"/>
      <c r="F9" s="7"/>
      <c r="G9" s="7"/>
      <c r="H9" s="7"/>
    </row>
    <row r="10" spans="1:29">
      <c r="A10" s="27" t="s">
        <v>16</v>
      </c>
      <c r="B10" s="176">
        <v>0.8</v>
      </c>
      <c r="C10" s="177"/>
      <c r="D10" s="178"/>
      <c r="E10" s="11"/>
      <c r="F10" s="11"/>
      <c r="G10" s="11"/>
      <c r="H10" s="11"/>
    </row>
    <row r="11" spans="1:29">
      <c r="U11" s="1" t="s">
        <v>75</v>
      </c>
    </row>
    <row r="12" spans="1:29">
      <c r="A12" s="29" t="s">
        <v>17</v>
      </c>
      <c r="B12" s="29" t="s">
        <v>123</v>
      </c>
      <c r="C12" s="29" t="s">
        <v>124</v>
      </c>
      <c r="D12" s="29" t="s">
        <v>125</v>
      </c>
      <c r="E12" s="29" t="s">
        <v>126</v>
      </c>
      <c r="F12" s="29" t="s">
        <v>127</v>
      </c>
      <c r="G12" s="29" t="s">
        <v>128</v>
      </c>
      <c r="H12" s="29" t="s">
        <v>129</v>
      </c>
      <c r="I12" s="29" t="s">
        <v>130</v>
      </c>
      <c r="J12" s="29" t="s">
        <v>131</v>
      </c>
      <c r="K12" s="29" t="s">
        <v>132</v>
      </c>
      <c r="L12" s="29" t="s">
        <v>133</v>
      </c>
      <c r="M12" s="29" t="s">
        <v>134</v>
      </c>
      <c r="N12" s="29" t="s">
        <v>135</v>
      </c>
      <c r="O12" s="29" t="s">
        <v>136</v>
      </c>
      <c r="P12" s="29" t="s">
        <v>137</v>
      </c>
      <c r="Q12" s="29" t="s">
        <v>138</v>
      </c>
      <c r="R12" s="29" t="s">
        <v>139</v>
      </c>
      <c r="S12" s="29" t="s">
        <v>140</v>
      </c>
      <c r="T12" s="61" t="s">
        <v>141</v>
      </c>
      <c r="U12" s="62" t="s">
        <v>142</v>
      </c>
      <c r="W12" s="1" t="s">
        <v>17</v>
      </c>
      <c r="X12" s="62" t="s">
        <v>142</v>
      </c>
    </row>
    <row r="13" spans="1:29">
      <c r="A13" s="49">
        <v>46082</v>
      </c>
      <c r="B13" s="49"/>
      <c r="C13" s="49"/>
      <c r="D13" s="49"/>
      <c r="E13" s="49"/>
      <c r="F13" s="49"/>
      <c r="G13" s="49"/>
      <c r="H13" s="49"/>
      <c r="I13" s="49"/>
      <c r="J13" s="49"/>
      <c r="K13" s="49"/>
      <c r="L13" s="49"/>
      <c r="M13" s="49"/>
      <c r="N13" s="49"/>
      <c r="O13" s="58"/>
      <c r="P13" s="58"/>
      <c r="Q13" s="58"/>
      <c r="R13" s="58"/>
      <c r="S13" s="58"/>
      <c r="T13" s="58"/>
      <c r="U13" s="63"/>
      <c r="W13" s="49">
        <v>45717</v>
      </c>
      <c r="X13" s="63"/>
    </row>
    <row r="14" spans="1:29">
      <c r="A14" s="49" t="s">
        <v>143</v>
      </c>
      <c r="B14" s="50">
        <v>1</v>
      </c>
      <c r="C14" s="50">
        <v>1</v>
      </c>
      <c r="D14" s="50">
        <v>1</v>
      </c>
      <c r="E14" s="50">
        <v>1</v>
      </c>
      <c r="F14" s="50">
        <v>1</v>
      </c>
      <c r="G14" s="50">
        <v>1</v>
      </c>
      <c r="H14" s="50">
        <v>1</v>
      </c>
      <c r="I14" s="50">
        <v>1</v>
      </c>
      <c r="J14" s="50">
        <v>1</v>
      </c>
      <c r="K14" s="50">
        <v>1</v>
      </c>
      <c r="L14" s="50">
        <v>1</v>
      </c>
      <c r="M14" s="50">
        <v>1</v>
      </c>
      <c r="N14" s="50">
        <v>0.71</v>
      </c>
      <c r="O14" s="59">
        <v>0.82</v>
      </c>
      <c r="P14" s="50">
        <v>1</v>
      </c>
      <c r="Q14" s="50">
        <v>1</v>
      </c>
      <c r="R14" s="59">
        <v>0.77</v>
      </c>
      <c r="S14" s="59">
        <v>1</v>
      </c>
      <c r="T14" s="59" t="s">
        <v>144</v>
      </c>
      <c r="U14" s="64">
        <v>0.97</v>
      </c>
      <c r="W14" s="49" t="s">
        <v>143</v>
      </c>
      <c r="X14" s="64">
        <v>0.94</v>
      </c>
    </row>
    <row r="15" spans="1:29">
      <c r="A15" s="51" t="s">
        <v>145</v>
      </c>
      <c r="B15" s="50">
        <v>1</v>
      </c>
      <c r="C15" s="50">
        <v>1</v>
      </c>
      <c r="D15" s="50">
        <v>1</v>
      </c>
      <c r="E15" s="50">
        <v>1</v>
      </c>
      <c r="F15" s="50">
        <v>1</v>
      </c>
      <c r="G15" s="50">
        <v>1</v>
      </c>
      <c r="H15" s="50">
        <v>1</v>
      </c>
      <c r="I15" s="50">
        <v>1</v>
      </c>
      <c r="J15" s="50">
        <v>1</v>
      </c>
      <c r="K15" s="50">
        <v>1</v>
      </c>
      <c r="L15" s="50">
        <v>1</v>
      </c>
      <c r="M15" s="50">
        <v>1</v>
      </c>
      <c r="N15" s="50">
        <v>0.86</v>
      </c>
      <c r="O15" s="59">
        <v>0.94</v>
      </c>
      <c r="P15" s="50">
        <v>1</v>
      </c>
      <c r="Q15" s="50">
        <v>1</v>
      </c>
      <c r="R15" s="59">
        <v>0.92</v>
      </c>
      <c r="S15" s="59">
        <v>1</v>
      </c>
      <c r="T15" s="59">
        <v>0.9</v>
      </c>
      <c r="U15" s="64"/>
      <c r="W15" s="51" t="s">
        <v>145</v>
      </c>
      <c r="X15" s="64">
        <v>0.97</v>
      </c>
    </row>
    <row r="16" spans="1:29">
      <c r="A16" s="52">
        <v>45992</v>
      </c>
      <c r="B16" s="51"/>
      <c r="C16" s="51"/>
      <c r="D16" s="51"/>
      <c r="E16" s="51"/>
      <c r="F16" s="51"/>
      <c r="G16" s="51"/>
      <c r="H16" s="51"/>
      <c r="I16" s="51"/>
      <c r="J16" s="51"/>
      <c r="K16" s="51"/>
      <c r="L16" s="51"/>
      <c r="M16" s="51"/>
      <c r="N16" s="51"/>
      <c r="O16" s="58"/>
      <c r="P16" s="58"/>
      <c r="Q16" s="58"/>
      <c r="R16" s="58"/>
      <c r="S16" s="58"/>
      <c r="T16" s="58"/>
      <c r="U16" s="63"/>
      <c r="W16" s="52">
        <v>45992</v>
      </c>
      <c r="X16" s="63"/>
    </row>
    <row r="17" spans="1:24">
      <c r="A17" s="52">
        <v>46082</v>
      </c>
      <c r="B17" s="50">
        <f>'  Chart  '!D13</f>
        <v>1</v>
      </c>
      <c r="C17" s="50">
        <f>' Chart'!D13</f>
        <v>1</v>
      </c>
      <c r="D17" s="50">
        <f>'Chart'!D13</f>
        <v>1</v>
      </c>
      <c r="E17" s="50">
        <f>' Chart  '!D13</f>
        <v>1</v>
      </c>
      <c r="F17" s="50">
        <f>'Chart  '!D13</f>
        <v>1</v>
      </c>
      <c r="G17" s="50">
        <f>'Chart '!D13</f>
        <v>1</v>
      </c>
      <c r="H17" s="50">
        <f>'  Chart '!D13</f>
        <v>1</v>
      </c>
      <c r="I17" s="50">
        <f>'  Chart'!D13</f>
        <v>1</v>
      </c>
      <c r="J17" s="50">
        <f>'   Chart'!D13</f>
        <v>1</v>
      </c>
      <c r="K17" s="50">
        <f>'   Chart '!D13</f>
        <v>1</v>
      </c>
      <c r="L17" s="50">
        <f>'      Chart    '!D13</f>
        <v>1</v>
      </c>
      <c r="M17" s="50">
        <f>'     Chart     '!D13</f>
        <v>1</v>
      </c>
      <c r="N17" s="50">
        <f>'   Chart   '!D13</f>
        <v>0.9259259259259259</v>
      </c>
      <c r="O17" s="59">
        <f>'   Chart  '!D13</f>
        <v>0.88</v>
      </c>
      <c r="P17" s="59">
        <f>'    Chart '!D13</f>
        <v>1</v>
      </c>
      <c r="Q17" s="59">
        <f>'    Chart'!D13</f>
        <v>1</v>
      </c>
      <c r="R17" s="59">
        <f>'  Chart    '!D13</f>
        <v>0.9285714285714286</v>
      </c>
      <c r="S17" s="59">
        <f>'     Chart    '!D13</f>
        <v>1</v>
      </c>
      <c r="T17" s="59">
        <f>'    Chart    '!D13</f>
        <v>0.88</v>
      </c>
      <c r="U17" s="64">
        <f>AVERAGE(B17:T17)</f>
        <v>0.9797103870788082</v>
      </c>
      <c r="W17" s="52" t="inlineStr">
        <is>
          <t>مارس2026</t>
        </is>
      </c>
      <c r="X17" s="64">
        <f>U17</f>
        <v>0.9797103870788082</v>
      </c>
    </row>
    <row r="18" spans="1:24">
      <c r="A18" s="51" t="s">
        <v>146</v>
      </c>
      <c r="B18" s="50">
        <f>'  Chart  '!D14</f>
        <v>1</v>
      </c>
      <c r="C18" s="50">
        <f>' Chart'!D14</f>
        <v>1</v>
      </c>
      <c r="D18" s="50">
        <f>'Chart'!D14</f>
        <v>0.8</v>
      </c>
      <c r="E18" s="50">
        <f>' Chart  '!D14</f>
        <v>1</v>
      </c>
      <c r="F18" s="50">
        <f>'Chart  '!D14</f>
        <v>1</v>
      </c>
      <c r="G18" s="50">
        <f>'Chart '!D14</f>
        <v>1</v>
      </c>
      <c r="H18" s="50">
        <f>'  Chart '!D14</f>
        <v>1</v>
      </c>
      <c r="I18" s="50">
        <f>'  Chart'!D14</f>
        <v>1</v>
      </c>
      <c r="J18" s="50">
        <f>'   Chart'!D14</f>
        <v>1</v>
      </c>
      <c r="K18" s="50">
        <f>'   Chart '!D14</f>
        <v>1</v>
      </c>
      <c r="L18" s="50">
        <f>'      Chart    '!D14</f>
        <v>1</v>
      </c>
      <c r="M18" s="50">
        <f>'     Chart     '!D14</f>
        <v>1</v>
      </c>
      <c r="N18" s="50">
        <f>'   Chart   '!D14</f>
        <v>0.8888888888888888</v>
      </c>
      <c r="O18" s="59">
        <f>'   Chart  '!D14</f>
        <v>0.92</v>
      </c>
      <c r="P18" s="59">
        <f>'    Chart '!D14</f>
        <v>1</v>
      </c>
      <c r="Q18" s="59">
        <f>'    Chart'!D14</f>
        <v>1</v>
      </c>
      <c r="R18" s="59">
        <f>'  Chart    '!D14</f>
        <v>0.9285714285714286</v>
      </c>
      <c r="S18" s="59">
        <f>'     Chart    '!D14</f>
        <v>1</v>
      </c>
      <c r="T18" s="59">
        <f>'    Chart    '!D14</f>
        <v>0.92</v>
      </c>
      <c r="U18" s="64">
        <f>AVERAGE(B18:T18)</f>
        <v>0.9714452798663324</v>
      </c>
      <c r="W18" s="51" t="s">
        <v>146</v>
      </c>
      <c r="X18" s="64">
        <f>U18</f>
        <v>0.9714452798663324</v>
      </c>
    </row>
    <row r="19" spans="1:24">
      <c r="A19" s="51" t="s">
        <v>147</v>
      </c>
      <c r="B19" s="50">
        <f>'  Chart  '!D15</f>
        <v>1</v>
      </c>
      <c r="C19" s="50">
        <f>' Chart'!D15</f>
        <v>1</v>
      </c>
      <c r="D19" s="50">
        <f>'Chart'!D15</f>
        <v>1</v>
      </c>
      <c r="E19" s="50">
        <f>' Chart  '!D15</f>
        <v>1</v>
      </c>
      <c r="F19" s="50">
        <f>'Chart  '!D15</f>
        <v>1</v>
      </c>
      <c r="G19" s="50">
        <f>'Chart '!D15</f>
        <v>1</v>
      </c>
      <c r="H19" s="50">
        <f>'  Chart '!D15</f>
        <v>1</v>
      </c>
      <c r="I19" s="50">
        <f>'  Chart'!D15</f>
        <v>1</v>
      </c>
      <c r="J19" s="50">
        <f>'   Chart'!D15</f>
        <v>1</v>
      </c>
      <c r="K19" s="50">
        <f>'   Chart '!D15</f>
        <v>1</v>
      </c>
      <c r="L19" s="50">
        <f>'      Chart    '!D15</f>
        <v>1</v>
      </c>
      <c r="M19" s="50">
        <f>'     Chart     '!D15</f>
        <v>1</v>
      </c>
      <c r="N19" s="50">
        <f>'   Chart   '!D15</f>
        <v>0.8518518518518519</v>
      </c>
      <c r="O19" s="59">
        <f>'   Chart  '!D15</f>
        <v>0.92</v>
      </c>
      <c r="P19" s="59">
        <f>'    Chart '!D15</f>
        <v>1</v>
      </c>
      <c r="Q19" s="59">
        <f>'    Chart'!D15</f>
        <v>1</v>
      </c>
      <c r="R19" s="59">
        <f>'  Chart    '!D15</f>
        <v>0.9285714285714286</v>
      </c>
      <c r="S19" s="59">
        <f>'     Chart    '!D15</f>
        <v>1</v>
      </c>
      <c r="T19" s="59">
        <f>'    Chart    '!D15</f>
        <v>0.92</v>
      </c>
      <c r="U19" s="64">
        <f>AVERAGE(B19:T19)</f>
        <v>0.9800222779170148</v>
      </c>
      <c r="W19" s="51" t="s">
        <v>147</v>
      </c>
      <c r="X19" s="64">
        <f>U19</f>
        <v>0.9800222779170148</v>
      </c>
    </row>
    <row r="20" spans="1:24">
      <c r="A20" s="52" t="s">
        <v>148</v>
      </c>
      <c r="B20" s="52"/>
      <c r="C20" s="52"/>
      <c r="D20" s="52"/>
      <c r="E20" s="52"/>
      <c r="F20" s="52"/>
      <c r="G20" s="52"/>
      <c r="H20" s="52"/>
      <c r="I20" s="52"/>
      <c r="J20" s="52"/>
      <c r="K20" s="52"/>
      <c r="L20" s="52"/>
      <c r="M20" s="52"/>
      <c r="N20" s="52"/>
      <c r="O20" s="58"/>
      <c r="P20" s="58"/>
      <c r="Q20" s="58"/>
      <c r="R20" s="58"/>
      <c r="S20" s="58"/>
      <c r="T20" s="58"/>
      <c r="U20" s="63"/>
      <c r="W20" s="52" t="s">
        <v>148</v>
      </c>
      <c r="X20" s="63"/>
    </row>
    <row r="21" spans="1:24">
      <c r="A21" s="179" t="s">
        <v>19</v>
      </c>
      <c r="B21" s="180"/>
      <c r="C21" s="180"/>
      <c r="D21" s="180"/>
      <c r="E21" s="180"/>
      <c r="F21" s="180"/>
      <c r="G21" s="180"/>
      <c r="H21" s="180"/>
      <c r="I21" s="180"/>
      <c r="J21" s="180"/>
      <c r="K21" s="180"/>
      <c r="L21" s="180"/>
      <c r="M21" s="180"/>
      <c r="N21" s="180"/>
      <c r="O21" s="180"/>
      <c r="P21" s="181"/>
      <c r="Q21" s="60"/>
      <c r="R21" s="60"/>
      <c r="S21" s="60"/>
      <c r="T21" s="60"/>
      <c r="U21" s="60"/>
    </row>
    <row r="22" spans="1:24" s="48" customFormat="1">
      <c r="A22" s="53"/>
      <c r="B22" s="53"/>
      <c r="C22" s="53"/>
      <c r="D22" s="53"/>
      <c r="E22" s="53"/>
      <c r="F22" s="53"/>
      <c r="G22" s="53"/>
      <c r="H22" s="53"/>
      <c r="I22" s="53"/>
      <c r="J22" s="53"/>
      <c r="K22" s="53"/>
      <c r="L22" s="53"/>
      <c r="M22" s="53"/>
      <c r="N22" s="53"/>
      <c r="O22" s="53"/>
      <c r="P22" s="53"/>
      <c r="Q22" s="53"/>
      <c r="R22" s="53"/>
      <c r="S22" s="65"/>
      <c r="T22" s="65"/>
    </row>
    <row r="23" spans="1:24" ht="23.45" customHeight="1">
      <c r="A23" s="54" t="s">
        <v>17</v>
      </c>
      <c r="B23" s="171" t="s">
        <v>20</v>
      </c>
      <c r="C23" s="171"/>
      <c r="D23" s="171"/>
      <c r="E23" s="171"/>
      <c r="F23" s="171"/>
      <c r="G23" s="54"/>
      <c r="H23" s="171" t="s">
        <v>21</v>
      </c>
      <c r="I23" s="171"/>
      <c r="J23" s="171"/>
      <c r="K23" s="171"/>
      <c r="L23" s="171"/>
      <c r="M23" s="171"/>
      <c r="N23" s="171" t="s">
        <v>22</v>
      </c>
      <c r="O23" s="171"/>
      <c r="P23" s="54" t="s">
        <v>23</v>
      </c>
    </row>
    <row r="24" spans="1:24" ht="38.450000000000003" customHeight="1">
      <c r="A24" s="30"/>
      <c r="B24" s="137"/>
      <c r="C24" s="137"/>
      <c r="D24" s="137"/>
      <c r="E24" s="137"/>
      <c r="F24" s="137"/>
      <c r="G24" s="37"/>
      <c r="H24" s="137"/>
      <c r="I24" s="137"/>
      <c r="J24" s="137"/>
      <c r="K24" s="137"/>
      <c r="L24" s="137"/>
      <c r="M24" s="137"/>
      <c r="N24" s="137"/>
      <c r="O24" s="137"/>
      <c r="P24" s="37"/>
    </row>
    <row r="25" spans="1:24" ht="41.45" customHeight="1">
      <c r="A25" s="32"/>
      <c r="B25" s="119"/>
      <c r="C25" s="119"/>
      <c r="D25" s="119"/>
      <c r="E25" s="119"/>
      <c r="F25" s="119"/>
      <c r="G25" s="38"/>
      <c r="H25" s="136"/>
      <c r="I25" s="136"/>
      <c r="J25" s="136"/>
      <c r="K25" s="136"/>
      <c r="L25" s="136"/>
      <c r="M25" s="136"/>
      <c r="N25" s="136"/>
      <c r="O25" s="136"/>
      <c r="P25" s="39"/>
    </row>
    <row r="26" spans="1:24" ht="44.1" customHeight="1">
      <c r="A26" s="30"/>
      <c r="B26" s="137"/>
      <c r="C26" s="137"/>
      <c r="D26" s="137"/>
      <c r="E26" s="137"/>
      <c r="F26" s="137"/>
      <c r="G26" s="37"/>
      <c r="H26" s="137"/>
      <c r="I26" s="137"/>
      <c r="J26" s="137"/>
      <c r="K26" s="137"/>
      <c r="L26" s="137"/>
      <c r="M26" s="137"/>
      <c r="N26" s="137"/>
      <c r="O26" s="137"/>
      <c r="P26" s="37"/>
    </row>
    <row r="27" spans="1:24" ht="39" customHeight="1">
      <c r="A27" s="32"/>
      <c r="B27" s="119"/>
      <c r="C27" s="119"/>
      <c r="D27" s="119"/>
      <c r="E27" s="119"/>
      <c r="F27" s="119"/>
      <c r="G27" s="38"/>
      <c r="H27" s="136"/>
      <c r="I27" s="136"/>
      <c r="J27" s="136"/>
      <c r="K27" s="136"/>
      <c r="L27" s="136"/>
      <c r="M27" s="136"/>
      <c r="N27" s="136"/>
      <c r="O27" s="136"/>
      <c r="P27" s="39"/>
    </row>
    <row r="28" spans="1:24" ht="44.45" customHeight="1">
      <c r="A28" s="30"/>
      <c r="B28" s="137"/>
      <c r="C28" s="137"/>
      <c r="D28" s="137"/>
      <c r="E28" s="137"/>
      <c r="F28" s="137"/>
      <c r="G28" s="37"/>
      <c r="H28" s="137"/>
      <c r="I28" s="137"/>
      <c r="J28" s="137"/>
      <c r="K28" s="137"/>
      <c r="L28" s="137"/>
      <c r="M28" s="137"/>
      <c r="N28" s="137"/>
      <c r="O28" s="137"/>
      <c r="P28" s="37"/>
    </row>
    <row r="29" spans="1:24" ht="38.25" customHeight="1">
      <c r="A29" s="32"/>
      <c r="B29" s="119"/>
      <c r="C29" s="119"/>
      <c r="D29" s="119"/>
      <c r="E29" s="119"/>
      <c r="F29" s="119"/>
      <c r="G29" s="38"/>
      <c r="H29" s="136"/>
      <c r="I29" s="136"/>
      <c r="J29" s="136"/>
      <c r="K29" s="136"/>
      <c r="L29" s="136"/>
      <c r="M29" s="136"/>
      <c r="N29" s="136"/>
      <c r="O29" s="136"/>
      <c r="P29" s="39"/>
    </row>
    <row r="30" spans="1:24" ht="43.5" customHeight="1">
      <c r="A30" s="30"/>
      <c r="B30" s="137"/>
      <c r="C30" s="137"/>
      <c r="D30" s="137"/>
      <c r="E30" s="137"/>
      <c r="F30" s="137"/>
      <c r="G30" s="37"/>
      <c r="H30" s="137"/>
      <c r="I30" s="137"/>
      <c r="J30" s="137"/>
      <c r="K30" s="137"/>
      <c r="L30" s="137"/>
      <c r="M30" s="137"/>
      <c r="N30" s="137"/>
      <c r="O30" s="137"/>
      <c r="P30" s="37"/>
    </row>
    <row r="31" spans="1:24" ht="39" customHeight="1">
      <c r="A31" s="55"/>
      <c r="B31" s="119"/>
      <c r="C31" s="119"/>
      <c r="D31" s="119"/>
      <c r="E31" s="119"/>
      <c r="F31" s="119"/>
      <c r="G31" s="38"/>
      <c r="H31" s="136"/>
      <c r="I31" s="136"/>
      <c r="J31" s="136"/>
      <c r="K31" s="136"/>
      <c r="L31" s="136"/>
      <c r="M31" s="136"/>
      <c r="N31" s="136"/>
      <c r="O31" s="136"/>
      <c r="P31" s="39"/>
    </row>
    <row r="32" spans="1:24" ht="44.45" customHeight="1">
      <c r="A32" s="56"/>
      <c r="B32" s="137"/>
      <c r="C32" s="137"/>
      <c r="D32" s="137"/>
      <c r="E32" s="137"/>
      <c r="F32" s="137"/>
      <c r="G32" s="37"/>
      <c r="H32" s="137"/>
      <c r="I32" s="137"/>
      <c r="J32" s="137"/>
      <c r="K32" s="137"/>
      <c r="L32" s="137"/>
      <c r="M32" s="137"/>
      <c r="N32" s="137"/>
      <c r="O32" s="137"/>
      <c r="P32" s="37"/>
    </row>
    <row r="33" spans="1:16" ht="38.25" customHeight="1">
      <c r="A33" s="57"/>
      <c r="B33" s="119"/>
      <c r="C33" s="119"/>
      <c r="D33" s="119"/>
      <c r="E33" s="119"/>
      <c r="F33" s="119"/>
      <c r="G33" s="38"/>
      <c r="H33" s="136"/>
      <c r="I33" s="136"/>
      <c r="J33" s="136"/>
      <c r="K33" s="136"/>
      <c r="L33" s="136"/>
      <c r="M33" s="136"/>
      <c r="N33" s="136"/>
      <c r="O33" s="136"/>
      <c r="P33" s="39"/>
    </row>
    <row r="34" spans="1:16" ht="44.45" customHeight="1">
      <c r="A34" s="56"/>
      <c r="B34" s="137"/>
      <c r="C34" s="137"/>
      <c r="D34" s="137"/>
      <c r="E34" s="137"/>
      <c r="F34" s="137"/>
      <c r="G34" s="37"/>
      <c r="H34" s="137"/>
      <c r="I34" s="137"/>
      <c r="J34" s="137"/>
      <c r="K34" s="137"/>
      <c r="L34" s="137"/>
      <c r="M34" s="137"/>
      <c r="N34" s="137"/>
      <c r="O34" s="137"/>
      <c r="P34" s="37"/>
    </row>
  </sheetData>
  <mergeCells count="41">
    <mergeCell ref="A6:AC6"/>
    <mergeCell ref="B8:D8"/>
    <mergeCell ref="B9:D9"/>
    <mergeCell ref="B10:D10"/>
    <mergeCell ref="A21:P21"/>
    <mergeCell ref="B23:F23"/>
    <mergeCell ref="H23:M23"/>
    <mergeCell ref="N23:O23"/>
    <mergeCell ref="B24:F24"/>
    <mergeCell ref="H24:M24"/>
    <mergeCell ref="N24:O24"/>
    <mergeCell ref="B25:F25"/>
    <mergeCell ref="H25:M25"/>
    <mergeCell ref="N25:O25"/>
    <mergeCell ref="B26:F26"/>
    <mergeCell ref="H26:M26"/>
    <mergeCell ref="N26:O26"/>
    <mergeCell ref="B27:F27"/>
    <mergeCell ref="H27:M27"/>
    <mergeCell ref="N27:O27"/>
    <mergeCell ref="B28:F28"/>
    <mergeCell ref="H28:M28"/>
    <mergeCell ref="N28:O28"/>
    <mergeCell ref="B29:F29"/>
    <mergeCell ref="H29:M29"/>
    <mergeCell ref="N29:O29"/>
    <mergeCell ref="B30:F30"/>
    <mergeCell ref="H30:M30"/>
    <mergeCell ref="N30:O30"/>
    <mergeCell ref="B31:F31"/>
    <mergeCell ref="H31:M31"/>
    <mergeCell ref="N31:O31"/>
    <mergeCell ref="B32:F32"/>
    <mergeCell ref="H32:M32"/>
    <mergeCell ref="N32:O32"/>
    <mergeCell ref="B33:F33"/>
    <mergeCell ref="H33:M33"/>
    <mergeCell ref="N33:O33"/>
    <mergeCell ref="B34:F34"/>
    <mergeCell ref="H34:M34"/>
    <mergeCell ref="N34:O34"/>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pageSetUpPr fitToPage="1"/>
  </sheetPr>
  <dimension ref="A1:P14"/>
  <sheetViews>
    <sheetView topLeftCell="C1" workbookViewId="0">
      <selection activeCell="J9" sqref="J9"/>
    </sheetView>
  </sheetViews>
  <sheetFormatPr defaultColWidth="8.85546875" defaultRowHeight="15.75"/>
  <cols>
    <col min="1" max="1" width="7.140625" style="1" customWidth="1"/>
    <col min="2" max="2" width="76.140625" style="1" customWidth="1"/>
    <col min="3" max="7" width="10.42578125" style="1" customWidth="1"/>
    <col min="8" max="16384" width="8.85546875" style="1"/>
  </cols>
  <sheetData>
    <row r="1" spans="1:16">
      <c r="B1" s="25" t="s">
        <v>0</v>
      </c>
      <c r="C1" s="3"/>
      <c r="D1" s="3"/>
      <c r="E1" s="3"/>
      <c r="F1" s="3"/>
      <c r="G1" s="3" t="s">
        <v>1</v>
      </c>
    </row>
    <row r="2" spans="1:16">
      <c r="B2" s="25" t="s">
        <v>2</v>
      </c>
      <c r="C2" s="3"/>
      <c r="D2" s="3"/>
      <c r="E2" s="3"/>
      <c r="F2" s="3"/>
      <c r="G2" s="3" t="s">
        <v>3</v>
      </c>
    </row>
    <row r="3" spans="1:16">
      <c r="A3" s="3" t="s">
        <v>75</v>
      </c>
      <c r="B3" s="3" t="s">
        <v>44</v>
      </c>
      <c r="C3" s="3"/>
      <c r="D3" s="3"/>
      <c r="E3" s="3"/>
      <c r="F3" s="3"/>
      <c r="G3" s="3" t="s">
        <v>53</v>
      </c>
    </row>
    <row r="4" spans="1:16">
      <c r="A4" s="3"/>
      <c r="C4" s="3"/>
      <c r="D4" s="3"/>
      <c r="E4" s="3"/>
      <c r="F4" s="3"/>
      <c r="G4" s="3"/>
    </row>
    <row r="5" spans="1:16">
      <c r="C5" s="42"/>
      <c r="D5" s="42"/>
      <c r="E5" s="42"/>
      <c r="F5" s="42"/>
      <c r="G5" s="42"/>
    </row>
    <row r="6" spans="1:16" ht="30" customHeight="1">
      <c r="A6" s="144" t="s">
        <v>149</v>
      </c>
      <c r="B6" s="145"/>
      <c r="C6" s="145"/>
      <c r="D6" s="145"/>
      <c r="E6" s="145"/>
      <c r="F6" s="145"/>
      <c r="G6" s="145"/>
      <c r="H6" s="145"/>
      <c r="I6" s="145"/>
      <c r="J6" s="47"/>
      <c r="K6" s="47"/>
      <c r="L6" s="47"/>
      <c r="M6" s="47"/>
      <c r="N6" s="47"/>
      <c r="O6" s="47"/>
      <c r="P6" s="47"/>
    </row>
    <row r="7" spans="1:16" ht="24.95" customHeight="1">
      <c r="A7" s="135" t="s">
        <v>7</v>
      </c>
      <c r="B7" s="135" t="s">
        <v>8</v>
      </c>
      <c r="C7" s="146" t="s">
        <v>26</v>
      </c>
      <c r="D7" s="147"/>
      <c r="E7" s="147"/>
      <c r="F7" s="147"/>
      <c r="G7" s="147"/>
      <c r="H7" s="147"/>
      <c r="I7" s="148"/>
    </row>
    <row r="8" spans="1:16" ht="24.95" customHeight="1">
      <c r="A8" s="135"/>
      <c r="B8" s="135"/>
      <c r="C8" s="43" t="s">
        <v>55</v>
      </c>
      <c r="D8" s="43" t="s">
        <v>56</v>
      </c>
      <c r="E8" s="43" t="s">
        <v>57</v>
      </c>
      <c r="F8" s="43" t="s">
        <v>58</v>
      </c>
      <c r="G8" s="43" t="s">
        <v>59</v>
      </c>
      <c r="H8" s="43" t="s">
        <v>60</v>
      </c>
      <c r="I8" s="43" t="s">
        <v>61</v>
      </c>
    </row>
    <row r="9" spans="1:16" ht="20.100000000000001" customHeight="1">
      <c r="A9" s="26">
        <v>1</v>
      </c>
      <c r="B9" s="44" t="s">
        <v>79</v>
      </c>
      <c r="C9" s="26">
        <v>1</v>
      </c>
      <c r="D9" s="26">
        <v>1</v>
      </c>
      <c r="E9" s="26">
        <v>1</v>
      </c>
      <c r="F9" s="26">
        <v>1</v>
      </c>
      <c r="G9" s="26">
        <v>1</v>
      </c>
      <c r="H9" s="26">
        <v>1</v>
      </c>
      <c r="I9" s="26"/>
    </row>
    <row r="10" spans="1:16" ht="32.25" customHeight="1">
      <c r="A10" s="27">
        <v>2</v>
      </c>
      <c r="B10" s="45" t="s">
        <v>80</v>
      </c>
      <c r="C10" s="27">
        <v>1</v>
      </c>
      <c r="D10" s="27">
        <v>1</v>
      </c>
      <c r="E10" s="27">
        <v>1</v>
      </c>
      <c r="F10" s="27">
        <v>1</v>
      </c>
      <c r="G10" s="27">
        <v>1</v>
      </c>
      <c r="H10" s="27">
        <v>1</v>
      </c>
      <c r="I10" s="27"/>
    </row>
    <row r="11" spans="1:16" ht="25.5">
      <c r="A11" s="26">
        <v>3</v>
      </c>
      <c r="B11" s="44" t="s">
        <v>81</v>
      </c>
      <c r="C11" s="26">
        <v>1</v>
      </c>
      <c r="D11" s="26">
        <v>1</v>
      </c>
      <c r="E11" s="26">
        <v>1</v>
      </c>
      <c r="F11" s="26">
        <v>1</v>
      </c>
      <c r="G11" s="26">
        <v>1</v>
      </c>
      <c r="H11" s="26">
        <v>1</v>
      </c>
      <c r="I11" s="26"/>
    </row>
    <row r="12" spans="1:16" ht="20.100000000000001" customHeight="1">
      <c r="A12" s="27">
        <v>4</v>
      </c>
      <c r="B12" s="45" t="s">
        <v>150</v>
      </c>
      <c r="C12" s="27">
        <v>1</v>
      </c>
      <c r="D12" s="27">
        <v>1</v>
      </c>
      <c r="E12" s="27">
        <v>1</v>
      </c>
      <c r="F12" s="27">
        <v>1</v>
      </c>
      <c r="G12" s="27">
        <v>1</v>
      </c>
      <c r="H12" s="27">
        <v>1</v>
      </c>
      <c r="I12" s="27"/>
    </row>
    <row r="13" spans="1:16">
      <c r="A13" s="26">
        <v>5</v>
      </c>
      <c r="B13" s="44" t="s">
        <v>111</v>
      </c>
      <c r="C13" s="26">
        <v>1</v>
      </c>
      <c r="D13" s="26">
        <v>1</v>
      </c>
      <c r="E13" s="26">
        <v>1</v>
      </c>
      <c r="F13" s="26">
        <v>1</v>
      </c>
      <c r="G13" s="26">
        <v>1</v>
      </c>
      <c r="H13" s="26">
        <v>1</v>
      </c>
      <c r="I13" s="26"/>
    </row>
    <row r="14" spans="1:16" ht="20.100000000000001" customHeight="1">
      <c r="A14" s="108" t="s">
        <v>10</v>
      </c>
      <c r="B14" s="108"/>
      <c r="C14" s="46">
        <f>IFERROR(AVERAGE(C9:C13),"-")</f>
        <v>1</v>
      </c>
      <c r="D14" s="46">
        <f>AVERAGE(D9:D13)</f>
        <v>1</v>
      </c>
      <c r="E14" s="46">
        <f>AVERAGE(E9:E13)</f>
        <v>1</v>
      </c>
      <c r="F14" s="46">
        <f>AVERAGE(F9:F13)</f>
        <v>1</v>
      </c>
      <c r="G14" s="46">
        <f>IFERROR(AVERAGE(G9:G13),"-")</f>
        <v>1</v>
      </c>
      <c r="H14" s="46">
        <f t="shared" ref="H14:I14" si="0">IFERROR(AVERAGE(H9:H13),"-")</f>
        <v>1</v>
      </c>
      <c r="I14" s="46" t="str">
        <f t="shared" si="0"/>
        <v>-</v>
      </c>
    </row>
  </sheetData>
  <mergeCells count="5">
    <mergeCell ref="A6:I6"/>
    <mergeCell ref="C7:I7"/>
    <mergeCell ref="A14:B14"/>
    <mergeCell ref="A7:A8"/>
    <mergeCell ref="B7:B8"/>
  </mergeCells>
  <pageMargins left="0.7" right="0.7" top="0.75" bottom="0.75" header="0.3" footer="0.3"/>
  <pageSetup paperSize="9" scale="85"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805831E5-49EA-46F6-856A-84F5C2734B09}">
            <xm:f>NOT(ISERROR(SEARCH(0,C9)))</xm:f>
            <xm:f>0</xm:f>
            <x14:dxf>
              <font>
                <color theme="0"/>
              </font>
              <fill>
                <patternFill patternType="solid">
                  <bgColor rgb="FFC00000"/>
                </patternFill>
              </fill>
            </x14:dxf>
          </x14:cfRule>
          <xm:sqref>C9:I13</xm:sqref>
        </x14:conditionalFormatting>
      </x14:conditionalFormatting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B050"/>
    <pageSetUpPr fitToPage="1"/>
  </sheetPr>
  <dimension ref="A1:M29"/>
  <sheetViews>
    <sheetView showRuler="0" workbookViewId="0">
      <selection activeCell="A6" sqref="A6:M6"/>
    </sheetView>
  </sheetViews>
  <sheetFormatPr defaultColWidth="8.85546875" defaultRowHeight="15.75"/>
  <cols>
    <col min="1" max="1" width="12.5703125" style="1" customWidth="1"/>
    <col min="2" max="4" width="14.42578125" style="1" customWidth="1"/>
    <col min="5" max="11" width="8.85546875" style="1"/>
    <col min="12" max="12" width="13" style="1" customWidth="1"/>
    <col min="13" max="16384" width="8.85546875" style="1"/>
  </cols>
  <sheetData>
    <row r="1" spans="1:13">
      <c r="A1" s="25" t="s">
        <v>0</v>
      </c>
      <c r="M1" s="3" t="s">
        <v>1</v>
      </c>
    </row>
    <row r="2" spans="1:13">
      <c r="A2" s="25" t="s">
        <v>2</v>
      </c>
      <c r="M2" s="3" t="s">
        <v>3</v>
      </c>
    </row>
    <row r="3" spans="1:13">
      <c r="A3" s="25" t="s">
        <v>44</v>
      </c>
      <c r="B3" s="3"/>
      <c r="C3" s="3"/>
      <c r="D3" s="3"/>
      <c r="E3" s="3"/>
      <c r="F3" s="3"/>
      <c r="L3" s="3" t="s">
        <v>53</v>
      </c>
      <c r="M3" s="3" t="s">
        <v>65</v>
      </c>
    </row>
    <row r="4" spans="1:13">
      <c r="A4" s="3"/>
      <c r="M4" s="3"/>
    </row>
    <row r="6" spans="1:13" ht="32.1" customHeight="1">
      <c r="A6" s="107" t="s">
        <v>151</v>
      </c>
      <c r="B6" s="107"/>
      <c r="C6" s="107"/>
      <c r="D6" s="107"/>
      <c r="E6" s="107"/>
      <c r="F6" s="107"/>
      <c r="G6" s="107"/>
      <c r="H6" s="107"/>
      <c r="I6" s="107"/>
      <c r="J6" s="107"/>
      <c r="K6" s="107"/>
      <c r="L6" s="107"/>
      <c r="M6" s="107"/>
    </row>
    <row r="8" spans="1:13">
      <c r="A8" s="26" t="s">
        <v>12</v>
      </c>
      <c r="B8" s="124" t="s">
        <v>13</v>
      </c>
      <c r="C8" s="124"/>
      <c r="D8" s="124"/>
      <c r="E8" s="7"/>
      <c r="F8" s="7"/>
      <c r="G8" s="7"/>
      <c r="H8" s="7"/>
      <c r="I8" s="7"/>
    </row>
    <row r="9" spans="1:13">
      <c r="A9" s="26" t="s">
        <v>14</v>
      </c>
      <c r="B9" s="124" t="s">
        <v>15</v>
      </c>
      <c r="C9" s="124"/>
      <c r="D9" s="124"/>
      <c r="E9" s="7"/>
      <c r="F9" s="7"/>
      <c r="G9" s="7"/>
      <c r="H9" s="7"/>
      <c r="I9" s="7"/>
    </row>
    <row r="10" spans="1:13">
      <c r="A10" s="27" t="s">
        <v>16</v>
      </c>
      <c r="B10" s="125">
        <v>0.8</v>
      </c>
      <c r="C10" s="125"/>
      <c r="D10" s="125"/>
      <c r="E10" s="11"/>
      <c r="F10" s="11"/>
      <c r="G10" s="11"/>
      <c r="H10" s="11"/>
      <c r="I10" s="11"/>
    </row>
    <row r="11" spans="1:13">
      <c r="E11" s="1" t="s">
        <v>75</v>
      </c>
    </row>
    <row r="12" spans="1:13">
      <c r="A12" s="29" t="s">
        <v>17</v>
      </c>
      <c r="B12" s="29" t="s">
        <v>12</v>
      </c>
      <c r="C12" s="29" t="s">
        <v>14</v>
      </c>
      <c r="D12" s="29" t="s">
        <v>18</v>
      </c>
    </row>
    <row r="13" spans="1:13">
      <c r="A13" s="30" t="s">
        <v>66</v>
      </c>
      <c r="B13" s="31">
        <v>5</v>
      </c>
      <c r="C13" s="31">
        <v>5</v>
      </c>
      <c r="D13" s="28">
        <f t="shared" ref="D13" si="0">B13/C13</f>
        <v>1</v>
      </c>
    </row>
    <row r="14" spans="1:13">
      <c r="A14" s="32" t="s">
        <v>67</v>
      </c>
      <c r="B14" s="33">
        <v>5</v>
      </c>
      <c r="C14" s="33">
        <v>5</v>
      </c>
      <c r="D14" s="34">
        <f>AVERAGE(B14/C14)</f>
        <v>1</v>
      </c>
    </row>
    <row r="15" spans="1:13">
      <c r="A15" s="30" t="s">
        <v>68</v>
      </c>
      <c r="B15" s="31">
        <v>5</v>
      </c>
      <c r="C15" s="31">
        <v>5</v>
      </c>
      <c r="D15" s="28">
        <f>AVERAGE(B15/C15)</f>
        <v>1</v>
      </c>
    </row>
    <row r="16" spans="1:13">
      <c r="A16" s="32" t="s">
        <v>69</v>
      </c>
      <c r="B16" s="33">
        <v>5</v>
      </c>
      <c r="C16" s="33">
        <v>5</v>
      </c>
      <c r="D16" s="34">
        <f>AVERAGE(B16/C16)</f>
        <v>1</v>
      </c>
    </row>
    <row r="17" spans="1:13">
      <c r="A17" s="30" t="s">
        <v>70</v>
      </c>
      <c r="B17" s="31">
        <v>5</v>
      </c>
      <c r="C17" s="31">
        <v>5</v>
      </c>
      <c r="D17" s="28">
        <f>B17/C17</f>
        <v>1</v>
      </c>
    </row>
    <row r="18" spans="1:13">
      <c r="A18" s="32" t="s">
        <v>71</v>
      </c>
      <c r="B18" s="33">
        <v>5</v>
      </c>
      <c r="C18" s="33">
        <v>5</v>
      </c>
      <c r="D18" s="34">
        <f>B18/C18</f>
        <v>1</v>
      </c>
    </row>
    <row r="19" spans="1:13">
      <c r="A19" s="30" t="s">
        <v>72</v>
      </c>
      <c r="B19" s="31"/>
      <c r="C19" s="31"/>
      <c r="D19" s="28"/>
    </row>
    <row r="20" spans="1:13">
      <c r="A20" s="140" t="s">
        <v>19</v>
      </c>
      <c r="B20" s="140"/>
      <c r="C20" s="140"/>
      <c r="D20" s="35">
        <f>AVERAGE(D13:D19)</f>
        <v>1</v>
      </c>
    </row>
    <row r="21" spans="1:13">
      <c r="E21" s="1" t="s">
        <v>75</v>
      </c>
    </row>
    <row r="22" spans="1:13" ht="23.45" customHeight="1">
      <c r="A22" s="36" t="s">
        <v>17</v>
      </c>
      <c r="B22" s="130" t="s">
        <v>20</v>
      </c>
      <c r="C22" s="131"/>
      <c r="D22" s="132"/>
      <c r="E22" s="129" t="s">
        <v>21</v>
      </c>
      <c r="F22" s="129"/>
      <c r="G22" s="129"/>
      <c r="H22" s="129"/>
      <c r="I22" s="129"/>
      <c r="J22" s="129"/>
      <c r="K22" s="129" t="s">
        <v>22</v>
      </c>
      <c r="L22" s="129"/>
      <c r="M22" s="36" t="s">
        <v>23</v>
      </c>
    </row>
    <row r="23" spans="1:13" ht="38.450000000000003" customHeight="1">
      <c r="A23" s="30" t="s">
        <v>66</v>
      </c>
      <c r="B23" s="137" t="s">
        <v>73</v>
      </c>
      <c r="C23" s="137"/>
      <c r="D23" s="137"/>
      <c r="E23" s="137" t="s">
        <v>30</v>
      </c>
      <c r="F23" s="137"/>
      <c r="G23" s="137"/>
      <c r="H23" s="137"/>
      <c r="I23" s="137"/>
      <c r="J23" s="137"/>
      <c r="K23" s="137" t="s">
        <v>30</v>
      </c>
      <c r="L23" s="137"/>
      <c r="M23" s="37" t="s">
        <v>30</v>
      </c>
    </row>
    <row r="24" spans="1:13" ht="41.45" customHeight="1">
      <c r="A24" s="32" t="s">
        <v>67</v>
      </c>
      <c r="B24" s="119" t="s">
        <v>73</v>
      </c>
      <c r="C24" s="119"/>
      <c r="D24" s="119"/>
      <c r="E24" s="136" t="s">
        <v>30</v>
      </c>
      <c r="F24" s="136"/>
      <c r="G24" s="136"/>
      <c r="H24" s="136"/>
      <c r="I24" s="136"/>
      <c r="J24" s="136"/>
      <c r="K24" s="136" t="s">
        <v>30</v>
      </c>
      <c r="L24" s="136"/>
      <c r="M24" s="39" t="s">
        <v>30</v>
      </c>
    </row>
    <row r="25" spans="1:13" ht="44.1" customHeight="1">
      <c r="A25" s="30" t="s">
        <v>68</v>
      </c>
      <c r="B25" s="137" t="s">
        <v>73</v>
      </c>
      <c r="C25" s="137"/>
      <c r="D25" s="137"/>
      <c r="E25" s="137" t="s">
        <v>30</v>
      </c>
      <c r="F25" s="137"/>
      <c r="G25" s="137"/>
      <c r="H25" s="137"/>
      <c r="I25" s="137"/>
      <c r="J25" s="137"/>
      <c r="K25" s="137" t="s">
        <v>30</v>
      </c>
      <c r="L25" s="137"/>
      <c r="M25" s="37" t="s">
        <v>30</v>
      </c>
    </row>
    <row r="26" spans="1:13" ht="39" customHeight="1">
      <c r="A26" s="32" t="s">
        <v>69</v>
      </c>
      <c r="B26" s="119" t="s">
        <v>73</v>
      </c>
      <c r="C26" s="119"/>
      <c r="D26" s="119"/>
      <c r="E26" s="136" t="s">
        <v>30</v>
      </c>
      <c r="F26" s="136"/>
      <c r="G26" s="136"/>
      <c r="H26" s="136"/>
      <c r="I26" s="136"/>
      <c r="J26" s="136"/>
      <c r="K26" s="136" t="s">
        <v>30</v>
      </c>
      <c r="L26" s="136"/>
      <c r="M26" s="39" t="s">
        <v>30</v>
      </c>
    </row>
    <row r="27" spans="1:13" ht="44.45" customHeight="1">
      <c r="A27" s="30" t="s">
        <v>70</v>
      </c>
      <c r="B27" s="137" t="s">
        <v>73</v>
      </c>
      <c r="C27" s="137"/>
      <c r="D27" s="137"/>
      <c r="E27" s="137" t="s">
        <v>30</v>
      </c>
      <c r="F27" s="137"/>
      <c r="G27" s="137"/>
      <c r="H27" s="137"/>
      <c r="I27" s="137"/>
      <c r="J27" s="137"/>
      <c r="K27" s="137" t="s">
        <v>30</v>
      </c>
      <c r="L27" s="137"/>
      <c r="M27" s="37" t="s">
        <v>30</v>
      </c>
    </row>
    <row r="28" spans="1:13" ht="36.75" customHeight="1">
      <c r="A28" s="32" t="s">
        <v>71</v>
      </c>
      <c r="B28" s="119" t="s">
        <v>73</v>
      </c>
      <c r="C28" s="119"/>
      <c r="D28" s="119"/>
      <c r="E28" s="136" t="s">
        <v>30</v>
      </c>
      <c r="F28" s="136"/>
      <c r="G28" s="136"/>
      <c r="H28" s="136"/>
      <c r="I28" s="136"/>
      <c r="J28" s="136"/>
      <c r="K28" s="136" t="s">
        <v>30</v>
      </c>
      <c r="L28" s="136"/>
      <c r="M28" s="39" t="s">
        <v>30</v>
      </c>
    </row>
    <row r="29" spans="1:13" ht="36.75" customHeight="1">
      <c r="A29" s="30" t="s">
        <v>72</v>
      </c>
      <c r="B29" s="164"/>
      <c r="C29" s="165"/>
      <c r="D29" s="166"/>
      <c r="E29" s="164"/>
      <c r="F29" s="165"/>
      <c r="G29" s="165"/>
      <c r="H29" s="165"/>
      <c r="I29" s="165"/>
      <c r="J29" s="166"/>
      <c r="K29" s="167"/>
      <c r="L29" s="167"/>
      <c r="M29" s="41"/>
    </row>
  </sheetData>
  <mergeCells count="29">
    <mergeCell ref="A6:M6"/>
    <mergeCell ref="B8:D8"/>
    <mergeCell ref="B9:D9"/>
    <mergeCell ref="B10:D10"/>
    <mergeCell ref="A20:C20"/>
    <mergeCell ref="B22:D22"/>
    <mergeCell ref="E22:J22"/>
    <mergeCell ref="K22:L22"/>
    <mergeCell ref="B23:D23"/>
    <mergeCell ref="E23:J23"/>
    <mergeCell ref="K23:L23"/>
    <mergeCell ref="B24:D24"/>
    <mergeCell ref="E24:J24"/>
    <mergeCell ref="K24:L24"/>
    <mergeCell ref="B25:D25"/>
    <mergeCell ref="E25:J25"/>
    <mergeCell ref="K25:L25"/>
    <mergeCell ref="B26:D26"/>
    <mergeCell ref="E26:J26"/>
    <mergeCell ref="K26:L26"/>
    <mergeCell ref="B27:D27"/>
    <mergeCell ref="E27:J27"/>
    <mergeCell ref="K27:L27"/>
    <mergeCell ref="B28:D28"/>
    <mergeCell ref="E28:J28"/>
    <mergeCell ref="K28:L28"/>
    <mergeCell ref="B29:D29"/>
    <mergeCell ref="E29:J29"/>
    <mergeCell ref="K29:L29"/>
  </mergeCells>
  <printOptions horizontalCentered="1"/>
  <pageMargins left="0.70866141732283505" right="0.70866141732283505" top="0.74803149606299202" bottom="0.74803149606299202" header="0.31496062992126" footer="0.31496062992126"/>
  <pageSetup paperSize="9" scale="77"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5"/>
  </sheetPr>
  <dimension ref="A1:P47"/>
  <sheetViews>
    <sheetView view="pageBreakPreview" topLeftCell="A13" zoomScaleNormal="85" workbookViewId="0">
      <selection activeCell="C15" sqref="C15"/>
    </sheetView>
  </sheetViews>
  <sheetFormatPr defaultColWidth="8.85546875" defaultRowHeight="15.75"/>
  <cols>
    <col min="1" max="1" width="3.42578125" style="1" customWidth="1"/>
    <col min="2" max="2" width="23.42578125" style="2" customWidth="1"/>
    <col min="3" max="3" width="25" style="1" customWidth="1"/>
    <col min="4" max="10" width="8.85546875" style="1"/>
    <col min="11" max="11" width="13" style="1" customWidth="1"/>
    <col min="12" max="16384" width="8.85546875" style="1"/>
  </cols>
  <sheetData>
    <row r="1" spans="1:16">
      <c r="A1" s="3"/>
      <c r="B1" s="4" t="s">
        <v>0</v>
      </c>
      <c r="N1" s="3" t="s">
        <v>1</v>
      </c>
    </row>
    <row r="2" spans="1:16">
      <c r="A2" s="3"/>
      <c r="B2" s="4" t="s">
        <v>2</v>
      </c>
      <c r="N2" s="3" t="s">
        <v>3</v>
      </c>
    </row>
    <row r="3" spans="1:16">
      <c r="A3" s="3"/>
      <c r="B3" s="4" t="s">
        <v>44</v>
      </c>
      <c r="C3" s="3"/>
      <c r="D3" s="3"/>
      <c r="E3" s="3"/>
      <c r="F3" s="3"/>
      <c r="G3" s="3"/>
      <c r="M3" s="3"/>
      <c r="N3" s="3" t="s">
        <v>53</v>
      </c>
    </row>
    <row r="4" spans="1:16">
      <c r="B4" s="1"/>
    </row>
    <row r="5" spans="1:16" ht="32.1" customHeight="1">
      <c r="A5" s="107" t="s">
        <v>152</v>
      </c>
      <c r="B5" s="107"/>
      <c r="C5" s="107"/>
      <c r="D5" s="107"/>
      <c r="E5" s="107"/>
      <c r="F5" s="107"/>
      <c r="G5" s="107"/>
      <c r="H5" s="107"/>
      <c r="I5" s="107"/>
      <c r="J5" s="107"/>
      <c r="K5" s="107"/>
      <c r="L5" s="107"/>
      <c r="M5" s="107"/>
      <c r="N5" s="107"/>
      <c r="O5" s="107"/>
      <c r="P5" s="107"/>
    </row>
    <row r="6" spans="1:16">
      <c r="B6" s="1"/>
    </row>
    <row r="7" spans="1:16">
      <c r="A7" s="5"/>
      <c r="B7" s="6" t="s">
        <v>12</v>
      </c>
      <c r="C7" s="6" t="s">
        <v>13</v>
      </c>
      <c r="D7" s="7"/>
      <c r="E7" s="7"/>
      <c r="F7" s="7"/>
      <c r="G7" s="7"/>
      <c r="H7" s="7"/>
    </row>
    <row r="8" spans="1:16">
      <c r="A8" s="5"/>
      <c r="B8" s="6" t="s">
        <v>14</v>
      </c>
      <c r="C8" s="6" t="s">
        <v>15</v>
      </c>
      <c r="D8" s="7"/>
      <c r="E8" s="7"/>
      <c r="F8" s="7"/>
      <c r="G8" s="7"/>
      <c r="H8" s="7"/>
    </row>
    <row r="9" spans="1:16">
      <c r="A9" s="8"/>
      <c r="B9" s="9" t="s">
        <v>16</v>
      </c>
      <c r="C9" s="10">
        <v>0.8</v>
      </c>
      <c r="D9" s="11"/>
      <c r="E9" s="11"/>
      <c r="F9" s="11"/>
      <c r="G9" s="11"/>
      <c r="H9" s="11"/>
    </row>
    <row r="10" spans="1:16">
      <c r="B10" s="1"/>
      <c r="D10" s="1" t="s">
        <v>75</v>
      </c>
    </row>
    <row r="11" spans="1:16">
      <c r="A11" s="12" t="s">
        <v>7</v>
      </c>
      <c r="B11" s="12" t="s">
        <v>153</v>
      </c>
      <c r="C11" s="13" t="s">
        <v>18</v>
      </c>
    </row>
    <row r="12" spans="1:16">
      <c r="A12" s="9">
        <v>1</v>
      </c>
      <c r="B12" s="9" t="s">
        <v>141</v>
      </c>
      <c r="C12" s="10" t="e">
        <f>'    Chart    '!D24</f>
        <v>#DIV/0!</v>
      </c>
      <c r="D12" s="14"/>
    </row>
    <row r="13" spans="1:16">
      <c r="A13" s="15">
        <v>2</v>
      </c>
      <c r="B13" s="15" t="s">
        <v>154</v>
      </c>
      <c r="C13" s="16" t="e">
        <f t="array" ref="C13">'     Chart    '!D24:D24</f>
        <v>#DIV/0!</v>
      </c>
      <c r="D13" s="14"/>
    </row>
    <row r="14" spans="1:16">
      <c r="A14" s="9">
        <v>3</v>
      </c>
      <c r="B14" s="9" t="s">
        <v>155</v>
      </c>
      <c r="C14" s="10">
        <v>0.81</v>
      </c>
      <c r="D14" s="14"/>
    </row>
    <row r="15" spans="1:16">
      <c r="A15" s="15">
        <v>4</v>
      </c>
      <c r="B15" s="15" t="s">
        <v>156</v>
      </c>
      <c r="C15" s="16" t="e">
        <f t="array" ref="C15">#REF!</f>
        <v>#REF!</v>
      </c>
      <c r="D15" s="14"/>
    </row>
    <row r="16" spans="1:16">
      <c r="A16" s="9">
        <v>5</v>
      </c>
      <c r="B16" s="9" t="s">
        <v>157</v>
      </c>
      <c r="C16" s="10" t="e">
        <f t="array" ref="C16">#REF!</f>
        <v>#REF!</v>
      </c>
      <c r="D16" s="14"/>
    </row>
    <row r="17" spans="1:12">
      <c r="A17" s="15">
        <v>6</v>
      </c>
      <c r="B17" s="15" t="s">
        <v>138</v>
      </c>
      <c r="C17" s="16" t="e">
        <f t="array" ref="C17">'    Chart'!D24:D24</f>
        <v>#DIV/0!</v>
      </c>
      <c r="D17" s="14"/>
    </row>
    <row r="18" spans="1:12">
      <c r="A18" s="9">
        <v>7</v>
      </c>
      <c r="B18" s="9" t="s">
        <v>158</v>
      </c>
      <c r="C18" s="10" t="e">
        <f t="array" ref="C18">#REF!</f>
        <v>#REF!</v>
      </c>
      <c r="D18" s="14"/>
    </row>
    <row r="19" spans="1:12">
      <c r="A19" s="15">
        <v>8</v>
      </c>
      <c r="B19" s="15" t="s">
        <v>159</v>
      </c>
      <c r="C19" s="16" t="e">
        <f t="array" ref="C19">'    Chart '!D24:D24</f>
        <v>#DIV/0!</v>
      </c>
      <c r="D19" s="14"/>
    </row>
    <row r="20" spans="1:12">
      <c r="A20" s="9">
        <v>9</v>
      </c>
      <c r="B20" s="9" t="s">
        <v>160</v>
      </c>
      <c r="C20" s="10">
        <f>'Chart (9)'!D20:D20</f>
        <v>1</v>
      </c>
      <c r="D20" s="14"/>
    </row>
    <row r="21" spans="1:12">
      <c r="A21" s="15">
        <v>10</v>
      </c>
      <c r="B21" s="15" t="s">
        <v>161</v>
      </c>
      <c r="C21" s="16" t="e">
        <f t="array" ref="C21">'   Chart  '!D24:D24</f>
        <v>#DIV/0!</v>
      </c>
      <c r="D21" s="14"/>
    </row>
    <row r="22" spans="1:12">
      <c r="A22" s="9">
        <v>11</v>
      </c>
      <c r="B22" s="9" t="s">
        <v>162</v>
      </c>
      <c r="C22" s="10">
        <v>1</v>
      </c>
      <c r="D22" s="14"/>
    </row>
    <row r="23" spans="1:12">
      <c r="A23" s="15">
        <v>12</v>
      </c>
      <c r="B23" s="15" t="s">
        <v>163</v>
      </c>
      <c r="C23" s="16" t="e">
        <f t="array" ref="C23">'   Chart   '!D23:D23</f>
        <v>#DIV/0!</v>
      </c>
      <c r="D23" s="14"/>
    </row>
    <row r="24" spans="1:12">
      <c r="A24" s="9">
        <v>13</v>
      </c>
      <c r="B24" s="9" t="s">
        <v>164</v>
      </c>
      <c r="C24" s="10">
        <v>1</v>
      </c>
      <c r="D24" s="14"/>
    </row>
    <row r="25" spans="1:12">
      <c r="A25" s="15">
        <v>14</v>
      </c>
      <c r="B25" s="15" t="s">
        <v>165</v>
      </c>
      <c r="C25" s="16">
        <v>1</v>
      </c>
      <c r="D25" s="14"/>
    </row>
    <row r="26" spans="1:12">
      <c r="A26" s="9">
        <v>15</v>
      </c>
      <c r="B26" s="9" t="s">
        <v>166</v>
      </c>
      <c r="C26" s="10">
        <v>1</v>
      </c>
      <c r="D26" s="14"/>
    </row>
    <row r="27" spans="1:12">
      <c r="A27" s="15">
        <v>16</v>
      </c>
      <c r="B27" s="15" t="s">
        <v>167</v>
      </c>
      <c r="C27" s="16">
        <v>1</v>
      </c>
      <c r="D27" s="14"/>
    </row>
    <row r="28" spans="1:12">
      <c r="A28" s="9">
        <v>17</v>
      </c>
      <c r="B28" s="9" t="s">
        <v>168</v>
      </c>
      <c r="C28" s="10">
        <v>1</v>
      </c>
      <c r="D28" s="1" t="s">
        <v>75</v>
      </c>
    </row>
    <row r="29" spans="1:12">
      <c r="A29" s="17"/>
      <c r="B29" s="191" t="e">
        <f>AVERAGE(C12:C28)</f>
        <v>#DIV/0!</v>
      </c>
      <c r="C29" s="192"/>
    </row>
    <row r="30" spans="1:12" ht="30" customHeight="1">
      <c r="A30" s="18" t="s">
        <v>7</v>
      </c>
      <c r="B30" s="18" t="s">
        <v>153</v>
      </c>
      <c r="C30" s="193" t="s">
        <v>169</v>
      </c>
      <c r="D30" s="193"/>
      <c r="E30" s="193" t="s">
        <v>170</v>
      </c>
      <c r="F30" s="193"/>
      <c r="G30" s="193"/>
      <c r="H30" s="193"/>
      <c r="I30" s="193"/>
      <c r="J30" s="194" t="s">
        <v>22</v>
      </c>
      <c r="K30" s="195"/>
      <c r="L30" s="18" t="s">
        <v>23</v>
      </c>
    </row>
    <row r="31" spans="1:12" ht="41.45" customHeight="1">
      <c r="A31" s="19">
        <v>1</v>
      </c>
      <c r="B31" s="20" t="s">
        <v>141</v>
      </c>
      <c r="C31" s="182" t="s">
        <v>171</v>
      </c>
      <c r="D31" s="182"/>
      <c r="E31" s="182"/>
      <c r="F31" s="182"/>
      <c r="G31" s="182"/>
      <c r="H31" s="182"/>
      <c r="I31" s="182"/>
      <c r="J31" s="183"/>
      <c r="K31" s="184"/>
      <c r="L31" s="19"/>
    </row>
    <row r="32" spans="1:12" ht="44.1" customHeight="1">
      <c r="A32" s="21">
        <v>2</v>
      </c>
      <c r="B32" s="9" t="s">
        <v>154</v>
      </c>
      <c r="C32" s="188" t="s">
        <v>171</v>
      </c>
      <c r="D32" s="188"/>
      <c r="E32" s="188"/>
      <c r="F32" s="188"/>
      <c r="G32" s="188"/>
      <c r="H32" s="188"/>
      <c r="I32" s="188"/>
      <c r="J32" s="189"/>
      <c r="K32" s="190"/>
      <c r="L32" s="21"/>
    </row>
    <row r="33" spans="1:12" ht="39" customHeight="1">
      <c r="A33" s="19">
        <v>3</v>
      </c>
      <c r="B33" s="20" t="s">
        <v>155</v>
      </c>
      <c r="C33" s="182" t="s">
        <v>171</v>
      </c>
      <c r="D33" s="182"/>
      <c r="E33" s="182"/>
      <c r="F33" s="182"/>
      <c r="G33" s="182"/>
      <c r="H33" s="182"/>
      <c r="I33" s="182"/>
      <c r="J33" s="183"/>
      <c r="K33" s="184"/>
      <c r="L33" s="19"/>
    </row>
    <row r="34" spans="1:12" ht="44.45" customHeight="1">
      <c r="A34" s="21">
        <v>4</v>
      </c>
      <c r="B34" s="9" t="s">
        <v>172</v>
      </c>
      <c r="C34" s="188" t="s">
        <v>171</v>
      </c>
      <c r="D34" s="188"/>
      <c r="E34" s="188"/>
      <c r="F34" s="188"/>
      <c r="G34" s="188"/>
      <c r="H34" s="188"/>
      <c r="I34" s="188"/>
      <c r="J34" s="189"/>
      <c r="K34" s="190"/>
      <c r="L34" s="21"/>
    </row>
    <row r="35" spans="1:12" ht="41.45" customHeight="1">
      <c r="A35" s="19">
        <v>5</v>
      </c>
      <c r="B35" s="20" t="s">
        <v>157</v>
      </c>
      <c r="C35" s="182" t="s">
        <v>171</v>
      </c>
      <c r="D35" s="182"/>
      <c r="E35" s="182"/>
      <c r="F35" s="182"/>
      <c r="G35" s="182"/>
      <c r="H35" s="182"/>
      <c r="I35" s="182"/>
      <c r="J35" s="183"/>
      <c r="K35" s="184"/>
      <c r="L35" s="19"/>
    </row>
    <row r="36" spans="1:12" ht="44.1" customHeight="1">
      <c r="A36" s="21">
        <v>6</v>
      </c>
      <c r="B36" s="9" t="s">
        <v>138</v>
      </c>
      <c r="C36" s="188" t="s">
        <v>171</v>
      </c>
      <c r="D36" s="188"/>
      <c r="E36" s="188"/>
      <c r="F36" s="188"/>
      <c r="G36" s="188"/>
      <c r="H36" s="188"/>
      <c r="I36" s="188"/>
      <c r="J36" s="189"/>
      <c r="K36" s="190"/>
      <c r="L36" s="21"/>
    </row>
    <row r="37" spans="1:12" ht="39" customHeight="1">
      <c r="A37" s="19">
        <v>7</v>
      </c>
      <c r="B37" s="20" t="s">
        <v>158</v>
      </c>
      <c r="C37" s="182" t="s">
        <v>171</v>
      </c>
      <c r="D37" s="182"/>
      <c r="E37" s="182"/>
      <c r="F37" s="182"/>
      <c r="G37" s="182"/>
      <c r="H37" s="182"/>
      <c r="I37" s="182"/>
      <c r="J37" s="183"/>
      <c r="K37" s="184"/>
      <c r="L37" s="19"/>
    </row>
    <row r="38" spans="1:12" ht="44.45" customHeight="1">
      <c r="A38" s="21">
        <v>8</v>
      </c>
      <c r="B38" s="9" t="s">
        <v>159</v>
      </c>
      <c r="C38" s="188" t="s">
        <v>171</v>
      </c>
      <c r="D38" s="188"/>
      <c r="E38" s="188"/>
      <c r="F38" s="188"/>
      <c r="G38" s="188"/>
      <c r="H38" s="188"/>
      <c r="I38" s="188"/>
      <c r="J38" s="189"/>
      <c r="K38" s="190"/>
      <c r="L38" s="21"/>
    </row>
    <row r="39" spans="1:12" ht="41.45" customHeight="1">
      <c r="A39" s="19">
        <v>9</v>
      </c>
      <c r="B39" s="20" t="s">
        <v>160</v>
      </c>
      <c r="C39" s="182" t="s">
        <v>171</v>
      </c>
      <c r="D39" s="182"/>
      <c r="E39" s="182"/>
      <c r="F39" s="182"/>
      <c r="G39" s="182"/>
      <c r="H39" s="182"/>
      <c r="I39" s="182"/>
      <c r="J39" s="183"/>
      <c r="K39" s="184"/>
      <c r="L39" s="19"/>
    </row>
    <row r="40" spans="1:12" ht="44.1" customHeight="1">
      <c r="A40" s="21">
        <v>10</v>
      </c>
      <c r="B40" s="9" t="s">
        <v>161</v>
      </c>
      <c r="C40" s="188" t="s">
        <v>171</v>
      </c>
      <c r="D40" s="188"/>
      <c r="E40" s="188"/>
      <c r="F40" s="188"/>
      <c r="G40" s="188"/>
      <c r="H40" s="188"/>
      <c r="I40" s="188"/>
      <c r="J40" s="189"/>
      <c r="K40" s="190"/>
      <c r="L40" s="21"/>
    </row>
    <row r="41" spans="1:12" ht="39" customHeight="1">
      <c r="A41" s="19">
        <v>11</v>
      </c>
      <c r="B41" s="20" t="s">
        <v>162</v>
      </c>
      <c r="C41" s="182" t="s">
        <v>171</v>
      </c>
      <c r="D41" s="182"/>
      <c r="E41" s="182"/>
      <c r="F41" s="182"/>
      <c r="G41" s="182"/>
      <c r="H41" s="182"/>
      <c r="I41" s="182"/>
      <c r="J41" s="183"/>
      <c r="K41" s="184"/>
      <c r="L41" s="19"/>
    </row>
    <row r="42" spans="1:12" ht="44.45" customHeight="1">
      <c r="A42" s="21">
        <v>12</v>
      </c>
      <c r="B42" s="22" t="s">
        <v>163</v>
      </c>
      <c r="C42" s="185" t="s">
        <v>171</v>
      </c>
      <c r="D42" s="185"/>
      <c r="E42" s="185"/>
      <c r="F42" s="185"/>
      <c r="G42" s="185"/>
      <c r="H42" s="185"/>
      <c r="I42" s="185"/>
      <c r="J42" s="186"/>
      <c r="K42" s="187"/>
      <c r="L42" s="23"/>
    </row>
    <row r="43" spans="1:12" ht="31.5" customHeight="1">
      <c r="A43" s="19">
        <v>13</v>
      </c>
      <c r="B43" s="24" t="s">
        <v>164</v>
      </c>
      <c r="C43" s="182" t="s">
        <v>171</v>
      </c>
      <c r="D43" s="182"/>
      <c r="E43" s="182"/>
      <c r="F43" s="182"/>
      <c r="G43" s="182"/>
      <c r="H43" s="182"/>
      <c r="I43" s="182"/>
      <c r="J43" s="183"/>
      <c r="K43" s="184"/>
      <c r="L43" s="19"/>
    </row>
    <row r="44" spans="1:12" ht="29.25" customHeight="1">
      <c r="A44" s="21">
        <v>14</v>
      </c>
      <c r="B44" s="22" t="s">
        <v>173</v>
      </c>
      <c r="C44" s="185" t="s">
        <v>171</v>
      </c>
      <c r="D44" s="185"/>
      <c r="E44" s="185"/>
      <c r="F44" s="185"/>
      <c r="G44" s="185"/>
      <c r="H44" s="185"/>
      <c r="I44" s="185"/>
      <c r="J44" s="186"/>
      <c r="K44" s="187"/>
      <c r="L44" s="23"/>
    </row>
    <row r="45" spans="1:12" ht="33.75" customHeight="1">
      <c r="A45" s="19">
        <v>15</v>
      </c>
      <c r="B45" s="24" t="s">
        <v>174</v>
      </c>
      <c r="C45" s="182" t="s">
        <v>171</v>
      </c>
      <c r="D45" s="182"/>
      <c r="E45" s="182"/>
      <c r="F45" s="182"/>
      <c r="G45" s="182"/>
      <c r="H45" s="182"/>
      <c r="I45" s="182"/>
      <c r="J45" s="183"/>
      <c r="K45" s="184"/>
      <c r="L45" s="19"/>
    </row>
    <row r="46" spans="1:12" ht="34.5" customHeight="1">
      <c r="A46" s="21">
        <v>16</v>
      </c>
      <c r="B46" s="22" t="s">
        <v>175</v>
      </c>
      <c r="C46" s="185" t="s">
        <v>171</v>
      </c>
      <c r="D46" s="185"/>
      <c r="E46" s="185"/>
      <c r="F46" s="185"/>
      <c r="G46" s="185"/>
      <c r="H46" s="185"/>
      <c r="I46" s="185"/>
      <c r="J46" s="186"/>
      <c r="K46" s="187"/>
      <c r="L46" s="23"/>
    </row>
    <row r="47" spans="1:12" ht="30" customHeight="1">
      <c r="A47" s="19">
        <v>17</v>
      </c>
      <c r="B47" s="20" t="s">
        <v>176</v>
      </c>
      <c r="C47" s="182" t="s">
        <v>171</v>
      </c>
      <c r="D47" s="182"/>
      <c r="E47" s="182"/>
      <c r="F47" s="182"/>
      <c r="G47" s="182"/>
      <c r="H47" s="182"/>
      <c r="I47" s="182"/>
      <c r="J47" s="183"/>
      <c r="K47" s="184"/>
      <c r="L47" s="19"/>
    </row>
  </sheetData>
  <mergeCells count="56">
    <mergeCell ref="A5:P5"/>
    <mergeCell ref="B29:C29"/>
    <mergeCell ref="C30:D30"/>
    <mergeCell ref="E30:I30"/>
    <mergeCell ref="J30:K30"/>
    <mergeCell ref="C31:D31"/>
    <mergeCell ref="E31:I31"/>
    <mergeCell ref="J31:K31"/>
    <mergeCell ref="C32:D32"/>
    <mergeCell ref="E32:I32"/>
    <mergeCell ref="J32:K32"/>
    <mergeCell ref="C33:D33"/>
    <mergeCell ref="E33:I33"/>
    <mergeCell ref="J33:K33"/>
    <mergeCell ref="C34:D34"/>
    <mergeCell ref="E34:I34"/>
    <mergeCell ref="J34:K34"/>
    <mergeCell ref="C35:D35"/>
    <mergeCell ref="E35:I35"/>
    <mergeCell ref="J35:K35"/>
    <mergeCell ref="C36:D36"/>
    <mergeCell ref="E36:I36"/>
    <mergeCell ref="J36:K36"/>
    <mergeCell ref="C37:D37"/>
    <mergeCell ref="E37:I37"/>
    <mergeCell ref="J37:K37"/>
    <mergeCell ref="C38:D38"/>
    <mergeCell ref="E38:I38"/>
    <mergeCell ref="J38:K38"/>
    <mergeCell ref="C39:D39"/>
    <mergeCell ref="E39:I39"/>
    <mergeCell ref="J39:K39"/>
    <mergeCell ref="C40:D40"/>
    <mergeCell ref="E40:I40"/>
    <mergeCell ref="J40:K40"/>
    <mergeCell ref="C41:D41"/>
    <mergeCell ref="E41:I41"/>
    <mergeCell ref="J41:K41"/>
    <mergeCell ref="C42:D42"/>
    <mergeCell ref="E42:I42"/>
    <mergeCell ref="J42:K42"/>
    <mergeCell ref="C43:D43"/>
    <mergeCell ref="E43:I43"/>
    <mergeCell ref="J43:K43"/>
    <mergeCell ref="C44:D44"/>
    <mergeCell ref="E44:I44"/>
    <mergeCell ref="J44:K44"/>
    <mergeCell ref="C47:D47"/>
    <mergeCell ref="E47:I47"/>
    <mergeCell ref="J47:K47"/>
    <mergeCell ref="C45:D45"/>
    <mergeCell ref="E45:I45"/>
    <mergeCell ref="J45:K45"/>
    <mergeCell ref="C46:D46"/>
    <mergeCell ref="E46:I46"/>
    <mergeCell ref="J46:K46"/>
  </mergeCells>
  <pageMargins left="0.7" right="0.7" top="0.75" bottom="0.75" header="0.3" footer="0.3"/>
  <pageSetup scale="48" orientation="portrait" r:id="rId1"/>
  <colBreaks count="1" manualBreakCount="1">
    <brk id="16"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4</vt:i4>
      </vt:variant>
    </vt:vector>
  </HeadingPairs>
  <TitlesOfParts>
    <vt:vector size="62" baseType="lpstr">
      <vt:lpstr>النظافة</vt:lpstr>
      <vt:lpstr>    Chart    </vt:lpstr>
      <vt:lpstr>الأكسجين</vt:lpstr>
      <vt:lpstr>     Chart    </vt:lpstr>
      <vt:lpstr>الأمن والحراسة</vt:lpstr>
      <vt:lpstr>  Chart    </vt:lpstr>
      <vt:lpstr>تداول النفايات</vt:lpstr>
      <vt:lpstr>    Chart</vt:lpstr>
      <vt:lpstr>توريد دم</vt:lpstr>
      <vt:lpstr>    Chart </vt:lpstr>
      <vt:lpstr>المخلفات الغير طبية</vt:lpstr>
      <vt:lpstr>Chart (9)</vt:lpstr>
      <vt:lpstr>توريد وإعداد الوجبات</vt:lpstr>
      <vt:lpstr>   Chart  </vt:lpstr>
      <vt:lpstr>اجهزة الاشعة المتنقلة</vt:lpstr>
      <vt:lpstr>عقد الصيانة</vt:lpstr>
      <vt:lpstr>   Chart   </vt:lpstr>
      <vt:lpstr>مكافحة القوارض</vt:lpstr>
      <vt:lpstr>     Chart     </vt:lpstr>
      <vt:lpstr>معالجة مياه الكلي</vt:lpstr>
      <vt:lpstr>صيانة وقائية و اصلاحية ميديكال</vt:lpstr>
      <vt:lpstr>Chart (13)</vt:lpstr>
      <vt:lpstr>      Chart    </vt:lpstr>
      <vt:lpstr> جهاز الرنين</vt:lpstr>
      <vt:lpstr>   Chart </vt:lpstr>
      <vt:lpstr>صيانة اشعه عاديه</vt:lpstr>
      <vt:lpstr>   Chart</vt:lpstr>
      <vt:lpstr>جهاز المقطعية</vt:lpstr>
      <vt:lpstr>  Chart</vt:lpstr>
      <vt:lpstr>الكلي الصناعي</vt:lpstr>
      <vt:lpstr>  Chart </vt:lpstr>
      <vt:lpstr>اشعة متنقل</vt:lpstr>
      <vt:lpstr>Chart </vt:lpstr>
      <vt:lpstr>تنفس صناعي</vt:lpstr>
      <vt:lpstr>Chart  </vt:lpstr>
      <vt:lpstr>اشعة ماموجرام </vt:lpstr>
      <vt:lpstr> Chart  </vt:lpstr>
      <vt:lpstr>التعقيم </vt:lpstr>
      <vt:lpstr>Chart</vt:lpstr>
      <vt:lpstr>تخدير ومونيتور</vt:lpstr>
      <vt:lpstr> Chart</vt:lpstr>
      <vt:lpstr>حضانات</vt:lpstr>
      <vt:lpstr>  Chart  </vt:lpstr>
      <vt:lpstr>ورقة2</vt:lpstr>
      <vt:lpstr>ورقة3</vt:lpstr>
      <vt:lpstr>ورقة4</vt:lpstr>
      <vt:lpstr>ورقة5</vt:lpstr>
      <vt:lpstr>ورقة6</vt:lpstr>
      <vt:lpstr>ورقة7</vt:lpstr>
      <vt:lpstr>ورقة8</vt:lpstr>
      <vt:lpstr>ورقة9</vt:lpstr>
      <vt:lpstr>ورقة10</vt:lpstr>
      <vt:lpstr>ورقة11</vt:lpstr>
      <vt:lpstr>ورقة12</vt:lpstr>
      <vt:lpstr>اجمالي نسب العقود </vt:lpstr>
      <vt:lpstr>صيانة اجهزة تخدير جي أي</vt:lpstr>
      <vt:lpstr>Chart (17)</vt:lpstr>
      <vt:lpstr>Total</vt:lpstr>
      <vt:lpstr>'     Chart    '!Print_Area</vt:lpstr>
      <vt:lpstr>'    Chart    '!Print_Area</vt:lpstr>
      <vt:lpstr>Total!Print_Area</vt:lpstr>
      <vt:lpstr>النظافة!Print_Area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khaled</dc:creator>
  <cp:lastModifiedBy>EHA</cp:lastModifiedBy>
  <cp:lastPrinted>2025-01-27T19:22:00Z</cp:lastPrinted>
  <dcterms:created xsi:type="dcterms:W3CDTF">2015-06-05T18:17:00Z</dcterms:created>
  <dcterms:modified xsi:type="dcterms:W3CDTF">2026-10-08T14:29:52Z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9E6E3F0C6A434628B5EC9D89CBA43F7E_13</vt:lpwstr>
  </property>
  <property fmtid="{D5CDD505-2E9C-101B-9397-08002B2CF9AE}" pid="3" name="KSOProductBuildVer">
    <vt:lpwstr>1033-12.2.0.23196</vt:lpwstr>
  </property>
</Properties>
</file>